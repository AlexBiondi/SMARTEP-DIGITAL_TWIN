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a-my.sharepoint.com/personal/angelavaleria_miceli_unipa_it/Documents/Python aggregazione e g-function/"/>
    </mc:Choice>
  </mc:AlternateContent>
  <xr:revisionPtr revIDLastSave="120" documentId="13_ncr:1_{08CA7724-F720-4FBC-B286-DB22934D45E9}" xr6:coauthVersionLast="47" xr6:coauthVersionMax="47" xr10:uidLastSave="{BD42A54D-CB00-426E-9ABC-EFD09165CFFE}"/>
  <bookViews>
    <workbookView xWindow="-108" yWindow="-108" windowWidth="23256" windowHeight="12456" activeTab="1" xr2:uid="{9C1F188E-D9AB-4ABB-901C-1728B7EC2B2C}"/>
  </bookViews>
  <sheets>
    <sheet name="MIFT_ref60s" sheetId="1" r:id="rId1"/>
    <sheet name="Grafico1" sheetId="3" r:id="rId2"/>
    <sheet name="MIF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2" l="1"/>
  <c r="N357" i="2"/>
  <c r="M125" i="2"/>
  <c r="G3" i="2"/>
  <c r="N11" i="2"/>
  <c r="L30" i="2"/>
  <c r="M23" i="2"/>
  <c r="M25" i="2"/>
  <c r="M26" i="2" s="1"/>
  <c r="M24" i="2"/>
  <c r="M22" i="2"/>
  <c r="M19" i="2"/>
  <c r="M17" i="2"/>
  <c r="M18" i="2"/>
  <c r="L12" i="2"/>
  <c r="C3" i="2"/>
  <c r="L11" i="2"/>
  <c r="L9" i="2"/>
  <c r="L8" i="2"/>
  <c r="L5" i="2"/>
  <c r="M6" i="2"/>
  <c r="L6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38" i="2"/>
  <c r="D39" i="2"/>
  <c r="D40" i="2"/>
  <c r="D41" i="2"/>
  <c r="D42" i="2"/>
  <c r="D43" i="2"/>
  <c r="D44" i="2"/>
  <c r="D45" i="2"/>
  <c r="D46" i="2"/>
  <c r="D47" i="2"/>
  <c r="D31" i="2"/>
  <c r="D32" i="2"/>
  <c r="D33" i="2"/>
  <c r="D34" i="2"/>
  <c r="D35" i="2"/>
  <c r="D36" i="2"/>
  <c r="D37" i="2"/>
  <c r="D22" i="2"/>
  <c r="D23" i="2"/>
  <c r="D24" i="2"/>
  <c r="D25" i="2"/>
  <c r="D26" i="2"/>
  <c r="D27" i="2"/>
  <c r="D28" i="2"/>
  <c r="D29" i="2"/>
  <c r="D30" i="2"/>
  <c r="D11" i="2"/>
  <c r="D12" i="2"/>
  <c r="D13" i="2"/>
  <c r="D14" i="2"/>
  <c r="D15" i="2"/>
  <c r="D16" i="2"/>
  <c r="D17" i="2"/>
  <c r="D18" i="2"/>
  <c r="D19" i="2"/>
  <c r="D20" i="2"/>
  <c r="D21" i="2"/>
  <c r="D4" i="2"/>
  <c r="D5" i="2"/>
  <c r="D6" i="2"/>
  <c r="D7" i="2"/>
  <c r="D8" i="2"/>
  <c r="D9" i="2"/>
  <c r="D10" i="2"/>
  <c r="D3" i="2"/>
  <c r="L4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tc={BDF451DC-9B46-48D2-8E23-323DD09C2F07}</author>
  </authors>
  <commentList>
    <comment ref="I1" authorId="0" shapeId="0" xr:uid="{BDF451DC-9B46-48D2-8E23-323DD09C2F0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Vecchio modello, senza grout, 3 eq, delta = 1</t>
      </text>
    </comment>
  </commentList>
</comments>
</file>

<file path=xl/sharedStrings.xml><?xml version="1.0" encoding="utf-8"?>
<sst xmlns="http://schemas.openxmlformats.org/spreadsheetml/2006/main" count="36" uniqueCount="26">
  <si>
    <t>%</t>
  </si>
  <si>
    <t>gf60s</t>
  </si>
  <si>
    <t>gf1h</t>
  </si>
  <si>
    <t>gf24h</t>
  </si>
  <si>
    <t>gf150y</t>
  </si>
  <si>
    <t>gf1y</t>
  </si>
  <si>
    <t>t/ts</t>
  </si>
  <si>
    <t>pygfunction MIFT</t>
  </si>
  <si>
    <t>gfunction</t>
  </si>
  <si>
    <t>COMSOL 100m, 3 eq</t>
  </si>
  <si>
    <t>g-function Rf</t>
  </si>
  <si>
    <t>gfunction R_field</t>
  </si>
  <si>
    <t>ts</t>
  </si>
  <si>
    <t>m</t>
  </si>
  <si>
    <t>kg/s</t>
  </si>
  <si>
    <t>V_dot</t>
  </si>
  <si>
    <t>m^3/s</t>
  </si>
  <si>
    <t>A</t>
  </si>
  <si>
    <t>m2</t>
  </si>
  <si>
    <t>Htot</t>
  </si>
  <si>
    <t>t</t>
  </si>
  <si>
    <t>s</t>
  </si>
  <si>
    <t>min</t>
  </si>
  <si>
    <t>q'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</si>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</sst>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0" xfId="0" applyBorder="1"/>
    <xf numFmtId="0" fontId="0" fillId="0" borderId="11" xfId="0" applyBorder="1"/>
    <xf numFmtId="11" fontId="0" fillId="0" borderId="12" xfId="0" applyNumberFormat="1" applyBorder="1"/>
    <xf numFmtId="11" fontId="0" fillId="0" borderId="13" xfId="0" applyNumberFormat="1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33" borderId="0" xfId="0" applyFill="1"/>
    <xf numFmtId="11" fontId="0" fillId="33" borderId="0" xfId="0" applyNumberFormat="1" applyFill="1"/>
    <xf numFmtId="0" fontId="0" fillId="33" borderId="10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microsoft.com/office/2017/10/relationships/person" Target="persons/perso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gfunction MIFT</a:t>
            </a:r>
            <a:r>
              <a:rPr lang="en-US" baseline="0"/>
              <a:t> di riferimento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gfunction MIFT reference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(MIFT_ref60s!$A$3:$A$62,MIFT_ref60s!$D$63:$D$122,MIFT_ref60s!$G$123:$G$146,MIFT_ref60s!$J$147:$J$511,MIFT_ref60s!$M$512:$M$661)</c:f>
              <c:numCache>
                <c:formatCode>0.00E+00</c:formatCode>
                <c:ptCount val="659"/>
                <c:pt idx="0">
                  <c:v>2.8583581999999999E-8</c:v>
                </c:pt>
                <c:pt idx="1">
                  <c:v>5.7167163000000001E-8</c:v>
                </c:pt>
                <c:pt idx="2">
                  <c:v>8.5750739999999995E-8</c:v>
                </c:pt>
                <c:pt idx="3">
                  <c:v>1.1433433E-7</c:v>
                </c:pt>
                <c:pt idx="4">
                  <c:v>1.4291791E-7</c:v>
                </c:pt>
                <c:pt idx="5">
                  <c:v>1.7150147999999999E-7</c:v>
                </c:pt>
                <c:pt idx="6">
                  <c:v>2.0008507E-7</c:v>
                </c:pt>
                <c:pt idx="7">
                  <c:v>2.2866865E-7</c:v>
                </c:pt>
                <c:pt idx="8">
                  <c:v>2.5725222000000001E-7</c:v>
                </c:pt>
                <c:pt idx="9">
                  <c:v>2.8583582E-7</c:v>
                </c:pt>
                <c:pt idx="10">
                  <c:v>3.1441940000000003E-7</c:v>
                </c:pt>
                <c:pt idx="11">
                  <c:v>3.4300297000000001E-7</c:v>
                </c:pt>
                <c:pt idx="12">
                  <c:v>3.7158657000000001E-7</c:v>
                </c:pt>
                <c:pt idx="13">
                  <c:v>4.0017013999999999E-7</c:v>
                </c:pt>
                <c:pt idx="14">
                  <c:v>4.287537E-7</c:v>
                </c:pt>
                <c:pt idx="15">
                  <c:v>4.5733729999999999E-7</c:v>
                </c:pt>
                <c:pt idx="16">
                  <c:v>4.8592089999999998E-7</c:v>
                </c:pt>
                <c:pt idx="17">
                  <c:v>5.1450444999999995E-7</c:v>
                </c:pt>
                <c:pt idx="18">
                  <c:v>5.4308805E-7</c:v>
                </c:pt>
                <c:pt idx="19">
                  <c:v>5.7167165000000004E-7</c:v>
                </c:pt>
                <c:pt idx="20">
                  <c:v>6.0025520000000001E-7</c:v>
                </c:pt>
                <c:pt idx="21">
                  <c:v>6.2883880000000005E-7</c:v>
                </c:pt>
                <c:pt idx="22">
                  <c:v>6.5742239999999999E-7</c:v>
                </c:pt>
                <c:pt idx="23">
                  <c:v>6.8600592999999999E-7</c:v>
                </c:pt>
                <c:pt idx="24">
                  <c:v>7.1458953000000004E-7</c:v>
                </c:pt>
                <c:pt idx="25">
                  <c:v>7.4317312999999998E-7</c:v>
                </c:pt>
                <c:pt idx="26">
                  <c:v>7.7175670000000002E-7</c:v>
                </c:pt>
                <c:pt idx="27">
                  <c:v>8.0034029999999996E-7</c:v>
                </c:pt>
                <c:pt idx="28">
                  <c:v>8.289239E-7</c:v>
                </c:pt>
                <c:pt idx="29">
                  <c:v>8.575074E-7</c:v>
                </c:pt>
                <c:pt idx="30">
                  <c:v>8.8609100000000004E-7</c:v>
                </c:pt>
                <c:pt idx="31">
                  <c:v>9.1467459999999998E-7</c:v>
                </c:pt>
                <c:pt idx="32">
                  <c:v>9.4325820000000003E-7</c:v>
                </c:pt>
                <c:pt idx="33">
                  <c:v>9.7184179999999996E-7</c:v>
                </c:pt>
                <c:pt idx="34">
                  <c:v>1.0004253000000001E-6</c:v>
                </c:pt>
                <c:pt idx="35">
                  <c:v>1.0290088999999999E-6</c:v>
                </c:pt>
                <c:pt idx="36">
                  <c:v>1.0575924999999999E-6</c:v>
                </c:pt>
                <c:pt idx="37">
                  <c:v>1.0861761E-6</c:v>
                </c:pt>
                <c:pt idx="38">
                  <c:v>1.1147597E-6</c:v>
                </c:pt>
                <c:pt idx="39">
                  <c:v>1.1433433000000001E-6</c:v>
                </c:pt>
                <c:pt idx="40">
                  <c:v>1.1719268E-6</c:v>
                </c:pt>
                <c:pt idx="41">
                  <c:v>1.2005104E-6</c:v>
                </c:pt>
                <c:pt idx="42">
                  <c:v>1.2290940000000001E-6</c:v>
                </c:pt>
                <c:pt idx="43">
                  <c:v>1.2576776000000001E-6</c:v>
                </c:pt>
                <c:pt idx="44">
                  <c:v>1.2862611999999999E-6</c:v>
                </c:pt>
                <c:pt idx="45">
                  <c:v>1.3148448E-6</c:v>
                </c:pt>
                <c:pt idx="46">
                  <c:v>1.3434284E-6</c:v>
                </c:pt>
                <c:pt idx="47">
                  <c:v>1.3720118999999999E-6</c:v>
                </c:pt>
                <c:pt idx="48">
                  <c:v>1.4005955E-6</c:v>
                </c:pt>
                <c:pt idx="49">
                  <c:v>1.4291791E-6</c:v>
                </c:pt>
                <c:pt idx="50">
                  <c:v>1.4577627000000001E-6</c:v>
                </c:pt>
                <c:pt idx="51">
                  <c:v>1.4863463000000001E-6</c:v>
                </c:pt>
                <c:pt idx="52">
                  <c:v>1.5149298999999999E-6</c:v>
                </c:pt>
                <c:pt idx="53">
                  <c:v>1.5435133000000001E-6</c:v>
                </c:pt>
                <c:pt idx="54">
                  <c:v>1.5720970000000001E-6</c:v>
                </c:pt>
                <c:pt idx="55">
                  <c:v>1.6006805E-6</c:v>
                </c:pt>
                <c:pt idx="56">
                  <c:v>1.6292641E-6</c:v>
                </c:pt>
                <c:pt idx="57">
                  <c:v>1.6578477000000001E-6</c:v>
                </c:pt>
                <c:pt idx="58">
                  <c:v>1.6864313000000001E-6</c:v>
                </c:pt>
                <c:pt idx="59">
                  <c:v>1.7150148E-6</c:v>
                </c:pt>
                <c:pt idx="60">
                  <c:v>1.7150148E-6</c:v>
                </c:pt>
                <c:pt idx="61">
                  <c:v>3.4300296999999999E-6</c:v>
                </c:pt>
                <c:pt idx="62">
                  <c:v>5.1450446999999998E-6</c:v>
                </c:pt>
                <c:pt idx="63">
                  <c:v>6.8600592999999999E-6</c:v>
                </c:pt>
                <c:pt idx="64">
                  <c:v>8.5750740000000008E-6</c:v>
                </c:pt>
                <c:pt idx="65">
                  <c:v>1.0290089E-5</c:v>
                </c:pt>
                <c:pt idx="66">
                  <c:v>1.20051045E-5</c:v>
                </c:pt>
                <c:pt idx="67">
                  <c:v>1.3720119E-5</c:v>
                </c:pt>
                <c:pt idx="68">
                  <c:v>1.5435135E-5</c:v>
                </c:pt>
                <c:pt idx="69">
                  <c:v>1.7150149000000001E-5</c:v>
                </c:pt>
                <c:pt idx="70">
                  <c:v>1.8865162999999999E-5</c:v>
                </c:pt>
                <c:pt idx="71">
                  <c:v>2.0580178999999999E-5</c:v>
                </c:pt>
                <c:pt idx="72">
                  <c:v>2.2295193E-5</c:v>
                </c:pt>
                <c:pt idx="73">
                  <c:v>2.4010209000000001E-5</c:v>
                </c:pt>
                <c:pt idx="74">
                  <c:v>2.5725222999999999E-5</c:v>
                </c:pt>
                <c:pt idx="75">
                  <c:v>2.7440237E-5</c:v>
                </c:pt>
                <c:pt idx="76">
                  <c:v>2.9155253E-5</c:v>
                </c:pt>
                <c:pt idx="77">
                  <c:v>3.0870269999999999E-5</c:v>
                </c:pt>
                <c:pt idx="78">
                  <c:v>3.258528E-5</c:v>
                </c:pt>
                <c:pt idx="79">
                  <c:v>3.4300298000000002E-5</c:v>
                </c:pt>
                <c:pt idx="80">
                  <c:v>3.6015313999999999E-5</c:v>
                </c:pt>
                <c:pt idx="81">
                  <c:v>3.7730325999999998E-5</c:v>
                </c:pt>
                <c:pt idx="82">
                  <c:v>3.9445342000000002E-5</c:v>
                </c:pt>
                <c:pt idx="83">
                  <c:v>4.1160357999999998E-5</c:v>
                </c:pt>
                <c:pt idx="84">
                  <c:v>4.2875374000000002E-5</c:v>
                </c:pt>
                <c:pt idx="85">
                  <c:v>4.4590386000000001E-5</c:v>
                </c:pt>
                <c:pt idx="86">
                  <c:v>4.6305401999999998E-5</c:v>
                </c:pt>
                <c:pt idx="87">
                  <c:v>4.8020418000000001E-5</c:v>
                </c:pt>
                <c:pt idx="88">
                  <c:v>4.973543E-5</c:v>
                </c:pt>
                <c:pt idx="89">
                  <c:v>5.1450445999999997E-5</c:v>
                </c:pt>
                <c:pt idx="90">
                  <c:v>5.3165462000000001E-5</c:v>
                </c:pt>
                <c:pt idx="91">
                  <c:v>5.4880475000000002E-5</c:v>
                </c:pt>
                <c:pt idx="92">
                  <c:v>5.6595490000000003E-5</c:v>
                </c:pt>
                <c:pt idx="93">
                  <c:v>5.8310507000000003E-5</c:v>
                </c:pt>
                <c:pt idx="94">
                  <c:v>6.0025522999999999E-5</c:v>
                </c:pt>
                <c:pt idx="95">
                  <c:v>6.1740539999999999E-5</c:v>
                </c:pt>
                <c:pt idx="96">
                  <c:v>6.3455550000000006E-5</c:v>
                </c:pt>
                <c:pt idx="97">
                  <c:v>6.517056E-5</c:v>
                </c:pt>
                <c:pt idx="98">
                  <c:v>6.6885579999999994E-5</c:v>
                </c:pt>
                <c:pt idx="99">
                  <c:v>6.8600594999999995E-5</c:v>
                </c:pt>
                <c:pt idx="100">
                  <c:v>7.0315609999999995E-5</c:v>
                </c:pt>
                <c:pt idx="101">
                  <c:v>7.2030630000000003E-5</c:v>
                </c:pt>
                <c:pt idx="102">
                  <c:v>7.3745639999999997E-5</c:v>
                </c:pt>
                <c:pt idx="103">
                  <c:v>7.5460650000000004E-5</c:v>
                </c:pt>
                <c:pt idx="104">
                  <c:v>7.7175669999999998E-5</c:v>
                </c:pt>
                <c:pt idx="105">
                  <c:v>7.8890684000000003E-5</c:v>
                </c:pt>
                <c:pt idx="106">
                  <c:v>8.06057E-5</c:v>
                </c:pt>
                <c:pt idx="107">
                  <c:v>8.2320715999999996E-5</c:v>
                </c:pt>
                <c:pt idx="108">
                  <c:v>8.4035730000000001E-5</c:v>
                </c:pt>
                <c:pt idx="109">
                  <c:v>8.5750749999999995E-5</c:v>
                </c:pt>
                <c:pt idx="110">
                  <c:v>8.7465756000000005E-5</c:v>
                </c:pt>
                <c:pt idx="111">
                  <c:v>8.9180769999999996E-5</c:v>
                </c:pt>
                <c:pt idx="112">
                  <c:v>9.0895790000000004E-5</c:v>
                </c:pt>
                <c:pt idx="113">
                  <c:v>9.2610803999999995E-5</c:v>
                </c:pt>
                <c:pt idx="114">
                  <c:v>9.4325820000000006E-5</c:v>
                </c:pt>
                <c:pt idx="115">
                  <c:v>9.6040836000000002E-5</c:v>
                </c:pt>
                <c:pt idx="116">
                  <c:v>9.7755849999999993E-5</c:v>
                </c:pt>
                <c:pt idx="117">
                  <c:v>9.9470860000000001E-5</c:v>
                </c:pt>
                <c:pt idx="118">
                  <c:v>1.0118587999999999E-4</c:v>
                </c:pt>
                <c:pt idx="119">
                  <c:v>1.0290089E-4</c:v>
                </c:pt>
                <c:pt idx="120">
                  <c:v>1.0290089E-4</c:v>
                </c:pt>
                <c:pt idx="121">
                  <c:v>2.0580178999999999E-4</c:v>
                </c:pt>
                <c:pt idx="122">
                  <c:v>3.0870266999999998E-4</c:v>
                </c:pt>
                <c:pt idx="123">
                  <c:v>4.1160357000000002E-4</c:v>
                </c:pt>
                <c:pt idx="124">
                  <c:v>5.1450444000000002E-4</c:v>
                </c:pt>
                <c:pt idx="125">
                  <c:v>6.1740533999999996E-4</c:v>
                </c:pt>
                <c:pt idx="126">
                  <c:v>7.2030624E-4</c:v>
                </c:pt>
                <c:pt idx="127">
                  <c:v>8.2320714000000004E-4</c:v>
                </c:pt>
                <c:pt idx="128">
                  <c:v>9.2610803999999998E-4</c:v>
                </c:pt>
                <c:pt idx="129" formatCode="General">
                  <c:v>1.0290089E-3</c:v>
                </c:pt>
                <c:pt idx="130" formatCode="General">
                  <c:v>1.1319098E-3</c:v>
                </c:pt>
                <c:pt idx="131" formatCode="General">
                  <c:v>1.2348107000000001E-3</c:v>
                </c:pt>
                <c:pt idx="132" formatCode="General">
                  <c:v>1.3377116000000001E-3</c:v>
                </c:pt>
                <c:pt idx="133" formatCode="General">
                  <c:v>1.4406124999999999E-3</c:v>
                </c:pt>
                <c:pt idx="134" formatCode="General">
                  <c:v>1.5435134E-3</c:v>
                </c:pt>
                <c:pt idx="135" formatCode="General">
                  <c:v>1.6464143E-3</c:v>
                </c:pt>
                <c:pt idx="136" formatCode="General">
                  <c:v>1.7493152000000001E-3</c:v>
                </c:pt>
                <c:pt idx="137" formatCode="General">
                  <c:v>1.8522161000000001E-3</c:v>
                </c:pt>
                <c:pt idx="138" formatCode="General">
                  <c:v>1.9551169000000001E-3</c:v>
                </c:pt>
                <c:pt idx="139" formatCode="General">
                  <c:v>2.0580177999999999E-3</c:v>
                </c:pt>
                <c:pt idx="140" formatCode="General">
                  <c:v>2.1609187000000002E-3</c:v>
                </c:pt>
                <c:pt idx="141" formatCode="General">
                  <c:v>2.2638196E-3</c:v>
                </c:pt>
                <c:pt idx="142" formatCode="General">
                  <c:v>2.3667204999999998E-3</c:v>
                </c:pt>
                <c:pt idx="143" formatCode="General">
                  <c:v>2.4696214000000001E-3</c:v>
                </c:pt>
                <c:pt idx="144" formatCode="General">
                  <c:v>2.4696214000000001E-3</c:v>
                </c:pt>
                <c:pt idx="145" formatCode="General">
                  <c:v>4.9392426999999997E-3</c:v>
                </c:pt>
                <c:pt idx="146" formatCode="General">
                  <c:v>7.4088642999999999E-3</c:v>
                </c:pt>
                <c:pt idx="147" formatCode="General">
                  <c:v>9.8784849999999993E-3</c:v>
                </c:pt>
                <c:pt idx="148" formatCode="General">
                  <c:v>1.2348107000000001E-2</c:v>
                </c:pt>
                <c:pt idx="149" formatCode="General">
                  <c:v>1.4817729E-2</c:v>
                </c:pt>
                <c:pt idx="150" formatCode="General">
                  <c:v>1.728735E-2</c:v>
                </c:pt>
                <c:pt idx="151" formatCode="General">
                  <c:v>1.9756969999999999E-2</c:v>
                </c:pt>
                <c:pt idx="152" formatCode="General">
                  <c:v>2.2226592999999999E-2</c:v>
                </c:pt>
                <c:pt idx="153" formatCode="General">
                  <c:v>2.4696214000000001E-2</c:v>
                </c:pt>
                <c:pt idx="154" formatCode="General">
                  <c:v>2.7165835999999999E-2</c:v>
                </c:pt>
                <c:pt idx="155" formatCode="General">
                  <c:v>2.9635457E-2</c:v>
                </c:pt>
                <c:pt idx="156" formatCode="General">
                  <c:v>3.2105077000000003E-2</c:v>
                </c:pt>
                <c:pt idx="157" formatCode="General">
                  <c:v>3.45747E-2</c:v>
                </c:pt>
                <c:pt idx="158" formatCode="General">
                  <c:v>3.7044319999999999E-2</c:v>
                </c:pt>
                <c:pt idx="159" formatCode="General">
                  <c:v>3.9513939999999997E-2</c:v>
                </c:pt>
                <c:pt idx="160" formatCode="General">
                  <c:v>4.1983563000000002E-2</c:v>
                </c:pt>
                <c:pt idx="161" formatCode="General">
                  <c:v>4.4453184999999999E-2</c:v>
                </c:pt>
                <c:pt idx="162" formatCode="General">
                  <c:v>4.6922806999999997E-2</c:v>
                </c:pt>
                <c:pt idx="163" formatCode="General">
                  <c:v>4.9392430000000001E-2</c:v>
                </c:pt>
                <c:pt idx="164" formatCode="General">
                  <c:v>5.186205E-2</c:v>
                </c:pt>
                <c:pt idx="165" formatCode="General">
                  <c:v>5.4331669999999999E-2</c:v>
                </c:pt>
                <c:pt idx="166" formatCode="General">
                  <c:v>5.6801293000000003E-2</c:v>
                </c:pt>
                <c:pt idx="167" formatCode="General">
                  <c:v>5.9270915E-2</c:v>
                </c:pt>
                <c:pt idx="168" formatCode="General">
                  <c:v>6.1740535999999999E-2</c:v>
                </c:pt>
                <c:pt idx="169" formatCode="General">
                  <c:v>6.4210154000000005E-2</c:v>
                </c:pt>
                <c:pt idx="170" formatCode="General">
                  <c:v>6.6679775999999996E-2</c:v>
                </c:pt>
                <c:pt idx="171" formatCode="General">
                  <c:v>6.91494E-2</c:v>
                </c:pt>
                <c:pt idx="172" formatCode="General">
                  <c:v>7.1619020000000005E-2</c:v>
                </c:pt>
                <c:pt idx="173" formatCode="General">
                  <c:v>7.4088639999999997E-2</c:v>
                </c:pt>
                <c:pt idx="174" formatCode="General">
                  <c:v>7.6558260000000003E-2</c:v>
                </c:pt>
                <c:pt idx="175" formatCode="General">
                  <c:v>7.9027879999999995E-2</c:v>
                </c:pt>
                <c:pt idx="176" formatCode="General">
                  <c:v>8.1497504999999998E-2</c:v>
                </c:pt>
                <c:pt idx="177" formatCode="General">
                  <c:v>8.3967130000000001E-2</c:v>
                </c:pt>
                <c:pt idx="178" formatCode="General">
                  <c:v>8.6436750000000007E-2</c:v>
                </c:pt>
                <c:pt idx="179" formatCode="General">
                  <c:v>8.8906369999999998E-2</c:v>
                </c:pt>
                <c:pt idx="180" formatCode="General">
                  <c:v>9.1375990000000004E-2</c:v>
                </c:pt>
                <c:pt idx="181" formatCode="General">
                  <c:v>9.3845609999999996E-2</c:v>
                </c:pt>
                <c:pt idx="182" formatCode="General">
                  <c:v>9.6315234999999999E-2</c:v>
                </c:pt>
                <c:pt idx="183" formatCode="General">
                  <c:v>9.8784860000000002E-2</c:v>
                </c:pt>
                <c:pt idx="184" formatCode="General">
                  <c:v>0.10125447999999999</c:v>
                </c:pt>
                <c:pt idx="185" formatCode="General">
                  <c:v>0.1037241</c:v>
                </c:pt>
                <c:pt idx="186" formatCode="General">
                  <c:v>0.10619372000000001</c:v>
                </c:pt>
                <c:pt idx="187" formatCode="General">
                  <c:v>0.10866334</c:v>
                </c:pt>
                <c:pt idx="188" formatCode="General">
                  <c:v>0.111132964</c:v>
                </c:pt>
                <c:pt idx="189" formatCode="General">
                  <c:v>0.11360258600000001</c:v>
                </c:pt>
                <c:pt idx="190" formatCode="General">
                  <c:v>0.11607221</c:v>
                </c:pt>
                <c:pt idx="191" formatCode="General">
                  <c:v>0.11854183</c:v>
                </c:pt>
                <c:pt idx="192" formatCode="General">
                  <c:v>0.12101145000000001</c:v>
                </c:pt>
                <c:pt idx="193" formatCode="General">
                  <c:v>0.12348107</c:v>
                </c:pt>
                <c:pt idx="194" formatCode="General">
                  <c:v>0.1259507</c:v>
                </c:pt>
                <c:pt idx="195" formatCode="General">
                  <c:v>0.12842031000000001</c:v>
                </c:pt>
                <c:pt idx="196" formatCode="General">
                  <c:v>0.13088994000000001</c:v>
                </c:pt>
                <c:pt idx="197" formatCode="General">
                  <c:v>0.13335954999999999</c:v>
                </c:pt>
                <c:pt idx="198" formatCode="General">
                  <c:v>0.13582917999999999</c:v>
                </c:pt>
                <c:pt idx="199" formatCode="General">
                  <c:v>0.1382988</c:v>
                </c:pt>
                <c:pt idx="200" formatCode="General">
                  <c:v>0.14076842000000001</c:v>
                </c:pt>
                <c:pt idx="201" formatCode="General">
                  <c:v>0.14323804000000001</c:v>
                </c:pt>
                <c:pt idx="202" formatCode="General">
                  <c:v>0.14570767000000001</c:v>
                </c:pt>
                <c:pt idx="203" formatCode="General">
                  <c:v>0.14817727999999999</c:v>
                </c:pt>
                <c:pt idx="204" formatCode="General">
                  <c:v>0.15064690999999999</c:v>
                </c:pt>
                <c:pt idx="205" formatCode="General">
                  <c:v>0.15311652000000001</c:v>
                </c:pt>
                <c:pt idx="206" formatCode="General">
                  <c:v>0.15558615000000001</c:v>
                </c:pt>
                <c:pt idx="207" formatCode="General">
                  <c:v>0.15805577000000001</c:v>
                </c:pt>
                <c:pt idx="208" formatCode="General">
                  <c:v>0.16052540000000001</c:v>
                </c:pt>
                <c:pt idx="209" formatCode="General">
                  <c:v>0.16299501</c:v>
                </c:pt>
                <c:pt idx="210" formatCode="General">
                  <c:v>0.16546464</c:v>
                </c:pt>
                <c:pt idx="211" formatCode="General">
                  <c:v>0.16793425000000001</c:v>
                </c:pt>
                <c:pt idx="212" formatCode="General">
                  <c:v>0.17040388000000001</c:v>
                </c:pt>
                <c:pt idx="213" formatCode="General">
                  <c:v>0.17287350000000001</c:v>
                </c:pt>
                <c:pt idx="214" formatCode="General">
                  <c:v>0.17534313000000001</c:v>
                </c:pt>
                <c:pt idx="215" formatCode="General">
                  <c:v>0.17781274</c:v>
                </c:pt>
                <c:pt idx="216" formatCode="General">
                  <c:v>0.18028237</c:v>
                </c:pt>
                <c:pt idx="217" formatCode="General">
                  <c:v>0.18275198000000001</c:v>
                </c:pt>
                <c:pt idx="218" formatCode="General">
                  <c:v>0.18522161000000001</c:v>
                </c:pt>
                <c:pt idx="219" formatCode="General">
                  <c:v>0.18769122999999999</c:v>
                </c:pt>
                <c:pt idx="220" formatCode="General">
                  <c:v>0.19016085999999999</c:v>
                </c:pt>
                <c:pt idx="221" formatCode="General">
                  <c:v>0.19263047</c:v>
                </c:pt>
                <c:pt idx="222" formatCode="General">
                  <c:v>0.1951001</c:v>
                </c:pt>
                <c:pt idx="223" formatCode="General">
                  <c:v>0.19756971000000001</c:v>
                </c:pt>
                <c:pt idx="224" formatCode="General">
                  <c:v>0.20003934000000001</c:v>
                </c:pt>
                <c:pt idx="225" formatCode="General">
                  <c:v>0.20250895999999999</c:v>
                </c:pt>
                <c:pt idx="226" formatCode="General">
                  <c:v>0.20497858999999999</c:v>
                </c:pt>
                <c:pt idx="227" formatCode="General">
                  <c:v>0.2074482</c:v>
                </c:pt>
                <c:pt idx="228" formatCode="General">
                  <c:v>0.20991783</c:v>
                </c:pt>
                <c:pt idx="229" formatCode="General">
                  <c:v>0.21238744000000001</c:v>
                </c:pt>
                <c:pt idx="230" formatCode="General">
                  <c:v>0.21485707000000001</c:v>
                </c:pt>
                <c:pt idx="231" formatCode="General">
                  <c:v>0.21732668999999999</c:v>
                </c:pt>
                <c:pt idx="232" formatCode="General">
                  <c:v>0.21979630999999999</c:v>
                </c:pt>
                <c:pt idx="233" formatCode="General">
                  <c:v>0.22226593</c:v>
                </c:pt>
                <c:pt idx="234" formatCode="General">
                  <c:v>0.22473556</c:v>
                </c:pt>
                <c:pt idx="235" formatCode="General">
                  <c:v>0.22720517000000001</c:v>
                </c:pt>
                <c:pt idx="236" formatCode="General">
                  <c:v>0.22967478999999999</c:v>
                </c:pt>
                <c:pt idx="237" formatCode="General">
                  <c:v>0.23214441999999999</c:v>
                </c:pt>
                <c:pt idx="238" formatCode="General">
                  <c:v>0.23461403</c:v>
                </c:pt>
                <c:pt idx="239" formatCode="General">
                  <c:v>0.23708366</c:v>
                </c:pt>
                <c:pt idx="240" formatCode="General">
                  <c:v>0.23955327000000001</c:v>
                </c:pt>
                <c:pt idx="241" formatCode="General">
                  <c:v>0.24202290000000001</c:v>
                </c:pt>
                <c:pt idx="242" formatCode="General">
                  <c:v>0.24449251999999999</c:v>
                </c:pt>
                <c:pt idx="243" formatCode="General">
                  <c:v>0.24696214</c:v>
                </c:pt>
                <c:pt idx="244" formatCode="General">
                  <c:v>0.24943176</c:v>
                </c:pt>
                <c:pt idx="245" formatCode="General">
                  <c:v>0.2519014</c:v>
                </c:pt>
                <c:pt idx="246" formatCode="General">
                  <c:v>0.25437102</c:v>
                </c:pt>
                <c:pt idx="247" formatCode="General">
                  <c:v>0.25684062000000002</c:v>
                </c:pt>
                <c:pt idx="248" formatCode="General">
                  <c:v>0.25931025000000002</c:v>
                </c:pt>
                <c:pt idx="249" formatCode="General">
                  <c:v>0.26177987000000003</c:v>
                </c:pt>
                <c:pt idx="250" formatCode="General">
                  <c:v>0.26424950000000003</c:v>
                </c:pt>
                <c:pt idx="251" formatCode="General">
                  <c:v>0.26671909999999999</c:v>
                </c:pt>
                <c:pt idx="252" formatCode="General">
                  <c:v>0.26918872999999999</c:v>
                </c:pt>
                <c:pt idx="253" formatCode="General">
                  <c:v>0.27165835999999999</c:v>
                </c:pt>
                <c:pt idx="254" formatCode="General">
                  <c:v>0.27412799999999998</c:v>
                </c:pt>
                <c:pt idx="255" formatCode="General">
                  <c:v>0.2765976</c:v>
                </c:pt>
                <c:pt idx="256" formatCode="General">
                  <c:v>0.27906722</c:v>
                </c:pt>
                <c:pt idx="257" formatCode="General">
                  <c:v>0.28153685000000001</c:v>
                </c:pt>
                <c:pt idx="258" formatCode="General">
                  <c:v>0.28400648000000001</c:v>
                </c:pt>
                <c:pt idx="259" formatCode="General">
                  <c:v>0.28647608000000002</c:v>
                </c:pt>
                <c:pt idx="260" formatCode="General">
                  <c:v>0.28894570000000003</c:v>
                </c:pt>
                <c:pt idx="261" formatCode="General">
                  <c:v>0.29141532999999997</c:v>
                </c:pt>
                <c:pt idx="262" formatCode="General">
                  <c:v>0.29388495999999997</c:v>
                </c:pt>
                <c:pt idx="263" formatCode="General">
                  <c:v>0.29635455999999999</c:v>
                </c:pt>
                <c:pt idx="264" formatCode="General">
                  <c:v>0.29882419999999998</c:v>
                </c:pt>
                <c:pt idx="265" formatCode="General">
                  <c:v>0.30129381999999999</c:v>
                </c:pt>
                <c:pt idx="266" formatCode="General">
                  <c:v>0.30376344999999999</c:v>
                </c:pt>
                <c:pt idx="267" formatCode="General">
                  <c:v>0.30623305000000001</c:v>
                </c:pt>
                <c:pt idx="268" formatCode="General">
                  <c:v>0.30870268000000001</c:v>
                </c:pt>
                <c:pt idx="269" formatCode="General">
                  <c:v>0.31117230000000001</c:v>
                </c:pt>
                <c:pt idx="270" formatCode="General">
                  <c:v>0.31364194000000001</c:v>
                </c:pt>
                <c:pt idx="271" formatCode="General">
                  <c:v>0.31611152999999997</c:v>
                </c:pt>
                <c:pt idx="272" formatCode="General">
                  <c:v>0.31858115999999997</c:v>
                </c:pt>
                <c:pt idx="273" formatCode="General">
                  <c:v>0.32105080000000003</c:v>
                </c:pt>
                <c:pt idx="274" formatCode="General">
                  <c:v>0.32352041999999998</c:v>
                </c:pt>
                <c:pt idx="275" formatCode="General">
                  <c:v>0.32599001999999999</c:v>
                </c:pt>
                <c:pt idx="276" formatCode="General">
                  <c:v>0.32845964999999999</c:v>
                </c:pt>
                <c:pt idx="277" formatCode="General">
                  <c:v>0.33092927999999999</c:v>
                </c:pt>
                <c:pt idx="278" formatCode="General">
                  <c:v>0.3333989</c:v>
                </c:pt>
                <c:pt idx="279" formatCode="General">
                  <c:v>0.33586850000000001</c:v>
                </c:pt>
                <c:pt idx="280" formatCode="General">
                  <c:v>0.33833814000000001</c:v>
                </c:pt>
                <c:pt idx="281" formatCode="General">
                  <c:v>0.34080777000000001</c:v>
                </c:pt>
                <c:pt idx="282" formatCode="General">
                  <c:v>0.34327735999999998</c:v>
                </c:pt>
                <c:pt idx="283" formatCode="General">
                  <c:v>0.34574700000000003</c:v>
                </c:pt>
                <c:pt idx="284" formatCode="General">
                  <c:v>0.34821661999999998</c:v>
                </c:pt>
                <c:pt idx="285" formatCode="General">
                  <c:v>0.35068624999999998</c:v>
                </c:pt>
                <c:pt idx="286" formatCode="General">
                  <c:v>0.35315584999999999</c:v>
                </c:pt>
                <c:pt idx="287" formatCode="General">
                  <c:v>0.35562547999999999</c:v>
                </c:pt>
                <c:pt idx="288" formatCode="General">
                  <c:v>0.3580951</c:v>
                </c:pt>
                <c:pt idx="289" formatCode="General">
                  <c:v>0.36056473999999999</c:v>
                </c:pt>
                <c:pt idx="290" formatCode="General">
                  <c:v>0.36303434000000001</c:v>
                </c:pt>
                <c:pt idx="291" formatCode="General">
                  <c:v>0.36550397000000001</c:v>
                </c:pt>
                <c:pt idx="292" formatCode="General">
                  <c:v>0.36797360000000001</c:v>
                </c:pt>
                <c:pt idx="293" formatCode="General">
                  <c:v>0.37044322000000002</c:v>
                </c:pt>
                <c:pt idx="294" formatCode="General">
                  <c:v>0.37291281999999998</c:v>
                </c:pt>
                <c:pt idx="295" formatCode="General">
                  <c:v>0.37538244999999998</c:v>
                </c:pt>
                <c:pt idx="296" formatCode="General">
                  <c:v>0.37785207999999998</c:v>
                </c:pt>
                <c:pt idx="297" formatCode="General">
                  <c:v>0.38032169999999998</c:v>
                </c:pt>
                <c:pt idx="298" formatCode="General">
                  <c:v>0.3827913</c:v>
                </c:pt>
                <c:pt idx="299" formatCode="General">
                  <c:v>0.38526094</c:v>
                </c:pt>
                <c:pt idx="300" formatCode="General">
                  <c:v>0.38773057</c:v>
                </c:pt>
                <c:pt idx="301" formatCode="General">
                  <c:v>0.3902002</c:v>
                </c:pt>
                <c:pt idx="302" formatCode="General">
                  <c:v>0.39266980000000001</c:v>
                </c:pt>
                <c:pt idx="303" formatCode="General">
                  <c:v>0.39513943000000001</c:v>
                </c:pt>
                <c:pt idx="304" formatCode="General">
                  <c:v>0.39760906000000001</c:v>
                </c:pt>
                <c:pt idx="305" formatCode="General">
                  <c:v>0.40007868000000002</c:v>
                </c:pt>
                <c:pt idx="306" formatCode="General">
                  <c:v>0.40254827999999998</c:v>
                </c:pt>
                <c:pt idx="307" formatCode="General">
                  <c:v>0.40501789999999999</c:v>
                </c:pt>
                <c:pt idx="308" formatCode="General">
                  <c:v>0.40748753999999998</c:v>
                </c:pt>
                <c:pt idx="309" formatCode="General">
                  <c:v>0.40995716999999998</c:v>
                </c:pt>
                <c:pt idx="310" formatCode="General">
                  <c:v>0.41242677</c:v>
                </c:pt>
                <c:pt idx="311" formatCode="General">
                  <c:v>0.4148964</c:v>
                </c:pt>
                <c:pt idx="312" formatCode="General">
                  <c:v>0.41736603</c:v>
                </c:pt>
                <c:pt idx="313" formatCode="General">
                  <c:v>0.41983566</c:v>
                </c:pt>
                <c:pt idx="314" formatCode="General">
                  <c:v>0.42230526000000002</c:v>
                </c:pt>
                <c:pt idx="315" formatCode="General">
                  <c:v>0.42477490000000001</c:v>
                </c:pt>
                <c:pt idx="316" formatCode="General">
                  <c:v>0.42724450000000003</c:v>
                </c:pt>
                <c:pt idx="317" formatCode="General">
                  <c:v>0.42971414000000002</c:v>
                </c:pt>
                <c:pt idx="318" formatCode="General">
                  <c:v>0.43218373999999998</c:v>
                </c:pt>
                <c:pt idx="319" formatCode="General">
                  <c:v>0.43465336999999998</c:v>
                </c:pt>
                <c:pt idx="320" formatCode="General">
                  <c:v>0.43712299999999998</c:v>
                </c:pt>
                <c:pt idx="321" formatCode="General">
                  <c:v>0.43959262999999998</c:v>
                </c:pt>
                <c:pt idx="322" formatCode="General">
                  <c:v>0.44206223</c:v>
                </c:pt>
                <c:pt idx="323" formatCode="General">
                  <c:v>0.44453186</c:v>
                </c:pt>
                <c:pt idx="324" formatCode="General">
                  <c:v>0.4470015</c:v>
                </c:pt>
                <c:pt idx="325" formatCode="General">
                  <c:v>0.44947112</c:v>
                </c:pt>
                <c:pt idx="326" formatCode="General">
                  <c:v>0.45194072000000002</c:v>
                </c:pt>
                <c:pt idx="327" formatCode="General">
                  <c:v>0.45441034000000002</c:v>
                </c:pt>
                <c:pt idx="328" formatCode="General">
                  <c:v>0.45687997000000002</c:v>
                </c:pt>
                <c:pt idx="329" formatCode="General">
                  <c:v>0.45934956999999998</c:v>
                </c:pt>
                <c:pt idx="330" formatCode="General">
                  <c:v>0.46181919999999999</c:v>
                </c:pt>
                <c:pt idx="331" formatCode="General">
                  <c:v>0.46428882999999999</c:v>
                </c:pt>
                <c:pt idx="332" formatCode="General">
                  <c:v>0.46675845999999999</c:v>
                </c:pt>
                <c:pt idx="333" formatCode="General">
                  <c:v>0.46922806</c:v>
                </c:pt>
                <c:pt idx="334" formatCode="General">
                  <c:v>0.4716977</c:v>
                </c:pt>
                <c:pt idx="335" formatCode="General">
                  <c:v>0.47416732</c:v>
                </c:pt>
                <c:pt idx="336" formatCode="General">
                  <c:v>0.47663695</c:v>
                </c:pt>
                <c:pt idx="337" formatCode="General">
                  <c:v>0.47910655000000002</c:v>
                </c:pt>
                <c:pt idx="338" formatCode="General">
                  <c:v>0.48157617000000003</c:v>
                </c:pt>
                <c:pt idx="339" formatCode="General">
                  <c:v>0.48404580000000003</c:v>
                </c:pt>
                <c:pt idx="340" formatCode="General">
                  <c:v>0.48651543000000003</c:v>
                </c:pt>
                <c:pt idx="341" formatCode="General">
                  <c:v>0.48898502999999999</c:v>
                </c:pt>
                <c:pt idx="342" formatCode="General">
                  <c:v>0.49145465999999999</c:v>
                </c:pt>
                <c:pt idx="343" formatCode="General">
                  <c:v>0.49392429999999998</c:v>
                </c:pt>
                <c:pt idx="344" formatCode="General">
                  <c:v>0.49639391999999999</c:v>
                </c:pt>
                <c:pt idx="345" formatCode="General">
                  <c:v>0.49886352</c:v>
                </c:pt>
                <c:pt idx="346" formatCode="General">
                  <c:v>0.50133320000000003</c:v>
                </c:pt>
                <c:pt idx="347" formatCode="General">
                  <c:v>0.5038028</c:v>
                </c:pt>
                <c:pt idx="348" formatCode="General">
                  <c:v>0.50627239999999996</c:v>
                </c:pt>
                <c:pt idx="349" formatCode="General">
                  <c:v>0.50874202999999996</c:v>
                </c:pt>
                <c:pt idx="350" formatCode="General">
                  <c:v>0.51121163000000003</c:v>
                </c:pt>
                <c:pt idx="351" formatCode="General">
                  <c:v>0.51368122999999999</c:v>
                </c:pt>
                <c:pt idx="352" formatCode="General">
                  <c:v>0.51615089999999997</c:v>
                </c:pt>
                <c:pt idx="353" formatCode="General">
                  <c:v>0.51862050000000004</c:v>
                </c:pt>
                <c:pt idx="354" formatCode="General">
                  <c:v>0.52109015000000003</c:v>
                </c:pt>
                <c:pt idx="355" formatCode="General">
                  <c:v>0.52355974999999999</c:v>
                </c:pt>
                <c:pt idx="356" formatCode="General">
                  <c:v>0.52602934999999995</c:v>
                </c:pt>
                <c:pt idx="357" formatCode="General">
                  <c:v>0.52849900000000005</c:v>
                </c:pt>
                <c:pt idx="358" formatCode="General">
                  <c:v>0.53096860000000001</c:v>
                </c:pt>
                <c:pt idx="359" formatCode="General">
                  <c:v>0.53343819999999997</c:v>
                </c:pt>
                <c:pt idx="360" formatCode="General">
                  <c:v>0.53590786000000001</c:v>
                </c:pt>
                <c:pt idx="361" formatCode="General">
                  <c:v>0.53837745999999997</c:v>
                </c:pt>
                <c:pt idx="362" formatCode="General">
                  <c:v>0.54084710000000003</c:v>
                </c:pt>
                <c:pt idx="363" formatCode="General">
                  <c:v>0.54331669999999999</c:v>
                </c:pt>
                <c:pt idx="364" formatCode="General">
                  <c:v>0.54578629999999995</c:v>
                </c:pt>
                <c:pt idx="365" formatCode="General">
                  <c:v>0.54825599999999997</c:v>
                </c:pt>
                <c:pt idx="366" formatCode="General">
                  <c:v>0.55072560000000004</c:v>
                </c:pt>
                <c:pt idx="367" formatCode="General">
                  <c:v>0.5531952</c:v>
                </c:pt>
                <c:pt idx="368" formatCode="General">
                  <c:v>0.55566484000000005</c:v>
                </c:pt>
                <c:pt idx="369" formatCode="General">
                  <c:v>0.55813444000000001</c:v>
                </c:pt>
                <c:pt idx="370" formatCode="General">
                  <c:v>0.56060410000000005</c:v>
                </c:pt>
                <c:pt idx="371" formatCode="General">
                  <c:v>0.56307370000000001</c:v>
                </c:pt>
                <c:pt idx="372" formatCode="General">
                  <c:v>0.56554329999999997</c:v>
                </c:pt>
                <c:pt idx="373" formatCode="General">
                  <c:v>0.56801294999999996</c:v>
                </c:pt>
                <c:pt idx="374" formatCode="General">
                  <c:v>0.57048255000000003</c:v>
                </c:pt>
                <c:pt idx="375" formatCode="General">
                  <c:v>0.57295214999999999</c:v>
                </c:pt>
                <c:pt idx="376" formatCode="General">
                  <c:v>0.57542179999999998</c:v>
                </c:pt>
                <c:pt idx="377" formatCode="General">
                  <c:v>0.57789140000000006</c:v>
                </c:pt>
                <c:pt idx="378" formatCode="General">
                  <c:v>0.58036100000000002</c:v>
                </c:pt>
                <c:pt idx="379" formatCode="General">
                  <c:v>0.58283067</c:v>
                </c:pt>
                <c:pt idx="380" formatCode="General">
                  <c:v>0.58530026999999996</c:v>
                </c:pt>
                <c:pt idx="381" formatCode="General">
                  <c:v>0.58776989999999996</c:v>
                </c:pt>
                <c:pt idx="382" formatCode="General">
                  <c:v>0.59023950000000003</c:v>
                </c:pt>
                <c:pt idx="383" formatCode="General">
                  <c:v>0.59270909999999999</c:v>
                </c:pt>
                <c:pt idx="384" formatCode="General">
                  <c:v>0.59517880000000001</c:v>
                </c:pt>
                <c:pt idx="385" formatCode="General">
                  <c:v>0.59764839999999997</c:v>
                </c:pt>
                <c:pt idx="386" formatCode="General">
                  <c:v>0.60011800000000004</c:v>
                </c:pt>
                <c:pt idx="387" formatCode="General">
                  <c:v>0.60258763999999998</c:v>
                </c:pt>
                <c:pt idx="388" formatCode="General">
                  <c:v>0.60505724000000005</c:v>
                </c:pt>
                <c:pt idx="389" formatCode="General">
                  <c:v>0.60752689999999998</c:v>
                </c:pt>
                <c:pt idx="390" formatCode="General">
                  <c:v>0.60999650000000005</c:v>
                </c:pt>
                <c:pt idx="391" formatCode="General">
                  <c:v>0.61246610000000001</c:v>
                </c:pt>
                <c:pt idx="392" formatCode="General">
                  <c:v>0.61493576000000005</c:v>
                </c:pt>
                <c:pt idx="393" formatCode="General">
                  <c:v>0.61740534999999996</c:v>
                </c:pt>
                <c:pt idx="394" formatCode="General">
                  <c:v>0.61987495000000004</c:v>
                </c:pt>
                <c:pt idx="395" formatCode="General">
                  <c:v>0.62234460000000003</c:v>
                </c:pt>
                <c:pt idx="396" formatCode="General">
                  <c:v>0.62481419999999999</c:v>
                </c:pt>
                <c:pt idx="397" formatCode="General">
                  <c:v>0.62728390000000001</c:v>
                </c:pt>
                <c:pt idx="398" formatCode="General">
                  <c:v>0.62975349999999997</c:v>
                </c:pt>
                <c:pt idx="399" formatCode="General">
                  <c:v>0.63222307</c:v>
                </c:pt>
                <c:pt idx="400" formatCode="General">
                  <c:v>0.6346927</c:v>
                </c:pt>
                <c:pt idx="401" formatCode="General">
                  <c:v>0.63716229999999996</c:v>
                </c:pt>
                <c:pt idx="402" formatCode="General">
                  <c:v>0.63963190000000003</c:v>
                </c:pt>
                <c:pt idx="403" formatCode="General">
                  <c:v>0.64210160000000005</c:v>
                </c:pt>
                <c:pt idx="404" formatCode="General">
                  <c:v>0.64457120000000001</c:v>
                </c:pt>
                <c:pt idx="405" formatCode="General">
                  <c:v>0.64704083999999995</c:v>
                </c:pt>
                <c:pt idx="406" formatCode="General">
                  <c:v>0.64951044000000002</c:v>
                </c:pt>
                <c:pt idx="407" formatCode="General">
                  <c:v>0.65198003999999998</c:v>
                </c:pt>
                <c:pt idx="408" formatCode="General">
                  <c:v>0.65444970000000002</c:v>
                </c:pt>
                <c:pt idx="409" formatCode="General">
                  <c:v>0.65691929999999998</c:v>
                </c:pt>
                <c:pt idx="410" formatCode="General">
                  <c:v>0.65938889999999994</c:v>
                </c:pt>
                <c:pt idx="411" formatCode="General">
                  <c:v>0.66185855999999998</c:v>
                </c:pt>
                <c:pt idx="412" formatCode="General">
                  <c:v>0.66432815999999995</c:v>
                </c:pt>
                <c:pt idx="413" formatCode="General">
                  <c:v>0.6667978</c:v>
                </c:pt>
                <c:pt idx="414" formatCode="General">
                  <c:v>0.66926739999999996</c:v>
                </c:pt>
                <c:pt idx="415" formatCode="General">
                  <c:v>0.67173700000000003</c:v>
                </c:pt>
                <c:pt idx="416" formatCode="General">
                  <c:v>0.67420670000000005</c:v>
                </c:pt>
                <c:pt idx="417" formatCode="General">
                  <c:v>0.67667630000000001</c:v>
                </c:pt>
                <c:pt idx="418" formatCode="General">
                  <c:v>0.67914589999999997</c:v>
                </c:pt>
                <c:pt idx="419" formatCode="General">
                  <c:v>0.68161552999999997</c:v>
                </c:pt>
                <c:pt idx="420" formatCode="General">
                  <c:v>0.68408513000000004</c:v>
                </c:pt>
                <c:pt idx="421" formatCode="General">
                  <c:v>0.68655473</c:v>
                </c:pt>
                <c:pt idx="422" formatCode="General">
                  <c:v>0.68902439999999998</c:v>
                </c:pt>
                <c:pt idx="423" formatCode="General">
                  <c:v>0.69149400000000005</c:v>
                </c:pt>
                <c:pt idx="424" formatCode="General">
                  <c:v>0.69396365000000004</c:v>
                </c:pt>
                <c:pt idx="425" formatCode="General">
                  <c:v>0.69643325</c:v>
                </c:pt>
                <c:pt idx="426" formatCode="General">
                  <c:v>0.69890284999999996</c:v>
                </c:pt>
                <c:pt idx="427" formatCode="General">
                  <c:v>0.70137249999999995</c:v>
                </c:pt>
                <c:pt idx="428" formatCode="General">
                  <c:v>0.70384210000000003</c:v>
                </c:pt>
                <c:pt idx="429" formatCode="General">
                  <c:v>0.70631169999999999</c:v>
                </c:pt>
                <c:pt idx="430" formatCode="General">
                  <c:v>0.70878136000000003</c:v>
                </c:pt>
                <c:pt idx="431" formatCode="General">
                  <c:v>0.71125095999999999</c:v>
                </c:pt>
                <c:pt idx="432" formatCode="General">
                  <c:v>0.71372060000000004</c:v>
                </c:pt>
                <c:pt idx="433" formatCode="General">
                  <c:v>0.7161902</c:v>
                </c:pt>
                <c:pt idx="434" formatCode="General">
                  <c:v>0.71865979999999996</c:v>
                </c:pt>
                <c:pt idx="435" formatCode="General">
                  <c:v>0.72112949999999998</c:v>
                </c:pt>
                <c:pt idx="436" formatCode="General">
                  <c:v>0.72359910000000005</c:v>
                </c:pt>
                <c:pt idx="437" formatCode="General">
                  <c:v>0.72606870000000001</c:v>
                </c:pt>
                <c:pt idx="438" formatCode="General">
                  <c:v>0.72853833000000001</c:v>
                </c:pt>
                <c:pt idx="439" formatCode="General">
                  <c:v>0.73100792999999997</c:v>
                </c:pt>
                <c:pt idx="440" formatCode="General">
                  <c:v>0.73347759999999995</c:v>
                </c:pt>
                <c:pt idx="441" formatCode="General">
                  <c:v>0.73594720000000002</c:v>
                </c:pt>
                <c:pt idx="442" formatCode="General">
                  <c:v>0.73841679999999998</c:v>
                </c:pt>
                <c:pt idx="443" formatCode="General">
                  <c:v>0.74088644999999997</c:v>
                </c:pt>
                <c:pt idx="444" formatCode="General">
                  <c:v>0.74335605000000005</c:v>
                </c:pt>
                <c:pt idx="445" formatCode="General">
                  <c:v>0.74582565000000001</c:v>
                </c:pt>
                <c:pt idx="446" formatCode="General">
                  <c:v>0.7482953</c:v>
                </c:pt>
                <c:pt idx="447" formatCode="General">
                  <c:v>0.75076489999999996</c:v>
                </c:pt>
                <c:pt idx="448" formatCode="General">
                  <c:v>0.75323457000000005</c:v>
                </c:pt>
                <c:pt idx="449" formatCode="General">
                  <c:v>0.75570415999999996</c:v>
                </c:pt>
                <c:pt idx="450" formatCode="General">
                  <c:v>0.75817376000000003</c:v>
                </c:pt>
                <c:pt idx="451" formatCode="General">
                  <c:v>0.76064339999999997</c:v>
                </c:pt>
                <c:pt idx="452" formatCode="General">
                  <c:v>0.76311300000000004</c:v>
                </c:pt>
                <c:pt idx="453" formatCode="General">
                  <c:v>0.7655826</c:v>
                </c:pt>
                <c:pt idx="454" formatCode="General">
                  <c:v>0.76805230000000002</c:v>
                </c:pt>
                <c:pt idx="455" formatCode="General">
                  <c:v>0.77052189999999998</c:v>
                </c:pt>
                <c:pt idx="456" formatCode="General">
                  <c:v>0.77299154000000003</c:v>
                </c:pt>
                <c:pt idx="457" formatCode="General">
                  <c:v>0.77546113999999999</c:v>
                </c:pt>
                <c:pt idx="458" formatCode="General">
                  <c:v>0.77793073999999995</c:v>
                </c:pt>
                <c:pt idx="459" formatCode="General">
                  <c:v>0.78040039999999999</c:v>
                </c:pt>
                <c:pt idx="460" formatCode="General">
                  <c:v>0.78286999999999995</c:v>
                </c:pt>
                <c:pt idx="461" formatCode="General">
                  <c:v>0.78533960000000003</c:v>
                </c:pt>
                <c:pt idx="462" formatCode="General">
                  <c:v>0.78780925000000002</c:v>
                </c:pt>
                <c:pt idx="463" formatCode="General">
                  <c:v>0.79027884999999998</c:v>
                </c:pt>
                <c:pt idx="464" formatCode="General">
                  <c:v>0.79274849999999997</c:v>
                </c:pt>
                <c:pt idx="465" formatCode="General">
                  <c:v>0.79521810000000004</c:v>
                </c:pt>
                <c:pt idx="466" formatCode="General">
                  <c:v>0.7976877</c:v>
                </c:pt>
                <c:pt idx="467" formatCode="General">
                  <c:v>0.80015736999999998</c:v>
                </c:pt>
                <c:pt idx="468" formatCode="General">
                  <c:v>0.80262697000000005</c:v>
                </c:pt>
                <c:pt idx="469" formatCode="General">
                  <c:v>0.80509657000000001</c:v>
                </c:pt>
                <c:pt idx="470" formatCode="General">
                  <c:v>0.80756620000000001</c:v>
                </c:pt>
                <c:pt idx="471" formatCode="General">
                  <c:v>0.81003579999999997</c:v>
                </c:pt>
                <c:pt idx="472" formatCode="General">
                  <c:v>0.81250540000000004</c:v>
                </c:pt>
                <c:pt idx="473" formatCode="General">
                  <c:v>0.81497509999999995</c:v>
                </c:pt>
                <c:pt idx="474" formatCode="General">
                  <c:v>0.81744470000000002</c:v>
                </c:pt>
                <c:pt idx="475" formatCode="General">
                  <c:v>0.81991433999999996</c:v>
                </c:pt>
                <c:pt idx="476" formatCode="General">
                  <c:v>0.82238394000000004</c:v>
                </c:pt>
                <c:pt idx="477" formatCode="General">
                  <c:v>0.82485354</c:v>
                </c:pt>
                <c:pt idx="478" formatCode="General">
                  <c:v>0.82732320000000004</c:v>
                </c:pt>
                <c:pt idx="479" formatCode="General">
                  <c:v>0.8297928</c:v>
                </c:pt>
                <c:pt idx="480" formatCode="General">
                  <c:v>0.83226239999999996</c:v>
                </c:pt>
                <c:pt idx="481" formatCode="General">
                  <c:v>0.83473206</c:v>
                </c:pt>
                <c:pt idx="482" formatCode="General">
                  <c:v>0.83720165000000002</c:v>
                </c:pt>
                <c:pt idx="483" formatCode="General">
                  <c:v>0.83967130000000001</c:v>
                </c:pt>
                <c:pt idx="484" formatCode="General">
                  <c:v>0.84214089999999997</c:v>
                </c:pt>
                <c:pt idx="485" formatCode="General">
                  <c:v>0.84461050000000004</c:v>
                </c:pt>
                <c:pt idx="486" formatCode="General">
                  <c:v>0.84708019999999995</c:v>
                </c:pt>
                <c:pt idx="487" formatCode="General">
                  <c:v>0.84954980000000002</c:v>
                </c:pt>
                <c:pt idx="488" formatCode="General">
                  <c:v>0.85201937000000005</c:v>
                </c:pt>
                <c:pt idx="489" formatCode="General">
                  <c:v>0.85448900000000005</c:v>
                </c:pt>
                <c:pt idx="490" formatCode="General">
                  <c:v>0.85695860000000001</c:v>
                </c:pt>
                <c:pt idx="491" formatCode="General">
                  <c:v>0.85942830000000003</c:v>
                </c:pt>
                <c:pt idx="492" formatCode="General">
                  <c:v>0.86189789999999999</c:v>
                </c:pt>
                <c:pt idx="493" formatCode="General">
                  <c:v>0.86436749999999996</c:v>
                </c:pt>
                <c:pt idx="494" formatCode="General">
                  <c:v>0.86683714000000001</c:v>
                </c:pt>
                <c:pt idx="495" formatCode="General">
                  <c:v>0.86930673999999997</c:v>
                </c:pt>
                <c:pt idx="496" formatCode="General">
                  <c:v>0.87177634000000004</c:v>
                </c:pt>
                <c:pt idx="497" formatCode="General">
                  <c:v>0.87424599999999997</c:v>
                </c:pt>
                <c:pt idx="498" formatCode="General">
                  <c:v>0.87671560000000004</c:v>
                </c:pt>
                <c:pt idx="499" formatCode="General">
                  <c:v>0.87918525999999997</c:v>
                </c:pt>
                <c:pt idx="500" formatCode="General">
                  <c:v>0.88165486000000004</c:v>
                </c:pt>
                <c:pt idx="501" formatCode="General">
                  <c:v>0.88412446</c:v>
                </c:pt>
                <c:pt idx="502" formatCode="General">
                  <c:v>0.88659410000000005</c:v>
                </c:pt>
                <c:pt idx="503" formatCode="General">
                  <c:v>0.88906370000000001</c:v>
                </c:pt>
                <c:pt idx="504" formatCode="General">
                  <c:v>0.89153329999999997</c:v>
                </c:pt>
                <c:pt idx="505" formatCode="General">
                  <c:v>0.89400299999999999</c:v>
                </c:pt>
                <c:pt idx="506" formatCode="General">
                  <c:v>0.89647259999999995</c:v>
                </c:pt>
                <c:pt idx="507" formatCode="General">
                  <c:v>0.89894222999999995</c:v>
                </c:pt>
                <c:pt idx="508" formatCode="General">
                  <c:v>0.90141183000000003</c:v>
                </c:pt>
                <c:pt idx="509" formatCode="General">
                  <c:v>0.90141183000000003</c:v>
                </c:pt>
                <c:pt idx="510" formatCode="General">
                  <c:v>1.8028237</c:v>
                </c:pt>
                <c:pt idx="511" formatCode="General">
                  <c:v>2.7042356000000001</c:v>
                </c:pt>
                <c:pt idx="512" formatCode="General">
                  <c:v>3.6056473000000002</c:v>
                </c:pt>
                <c:pt idx="513" formatCode="General">
                  <c:v>4.5070589999999999</c:v>
                </c:pt>
                <c:pt idx="514" formatCode="General">
                  <c:v>5.4084709999999996</c:v>
                </c:pt>
                <c:pt idx="515" formatCode="General">
                  <c:v>6.3098825999999999</c:v>
                </c:pt>
                <c:pt idx="516" formatCode="General">
                  <c:v>7.2112946999999998</c:v>
                </c:pt>
                <c:pt idx="517" formatCode="General">
                  <c:v>8.1127059999999993</c:v>
                </c:pt>
                <c:pt idx="518" formatCode="General">
                  <c:v>9.0141179999999999</c:v>
                </c:pt>
                <c:pt idx="519" formatCode="General">
                  <c:v>9.9155300000000004</c:v>
                </c:pt>
                <c:pt idx="520" formatCode="General">
                  <c:v>10.816941999999999</c:v>
                </c:pt>
                <c:pt idx="521" formatCode="General">
                  <c:v>11.718353</c:v>
                </c:pt>
                <c:pt idx="522" formatCode="General">
                  <c:v>12.619764999999999</c:v>
                </c:pt>
                <c:pt idx="523" formatCode="General">
                  <c:v>13.521177</c:v>
                </c:pt>
                <c:pt idx="524" formatCode="General">
                  <c:v>14.422589</c:v>
                </c:pt>
                <c:pt idx="525" formatCode="General">
                  <c:v>15.324001000000001</c:v>
                </c:pt>
                <c:pt idx="526" formatCode="General">
                  <c:v>16.225411999999999</c:v>
                </c:pt>
                <c:pt idx="527" formatCode="General">
                  <c:v>17.126825</c:v>
                </c:pt>
                <c:pt idx="528" formatCode="General">
                  <c:v>18.028236</c:v>
                </c:pt>
                <c:pt idx="529" formatCode="General">
                  <c:v>18.929646999999999</c:v>
                </c:pt>
                <c:pt idx="530" formatCode="General">
                  <c:v>19.831060000000001</c:v>
                </c:pt>
                <c:pt idx="531" formatCode="General">
                  <c:v>20.732471</c:v>
                </c:pt>
                <c:pt idx="532" formatCode="General">
                  <c:v>21.633883999999998</c:v>
                </c:pt>
                <c:pt idx="533" formatCode="General">
                  <c:v>22.535295000000001</c:v>
                </c:pt>
                <c:pt idx="534" formatCode="General">
                  <c:v>23.436706999999998</c:v>
                </c:pt>
                <c:pt idx="535" formatCode="General">
                  <c:v>24.33812</c:v>
                </c:pt>
                <c:pt idx="536" formatCode="General">
                  <c:v>25.239529999999998</c:v>
                </c:pt>
                <c:pt idx="537" formatCode="General">
                  <c:v>26.140944000000001</c:v>
                </c:pt>
                <c:pt idx="538" formatCode="General">
                  <c:v>27.042355000000001</c:v>
                </c:pt>
                <c:pt idx="539" formatCode="General">
                  <c:v>27.943766</c:v>
                </c:pt>
                <c:pt idx="540" formatCode="General">
                  <c:v>28.845179000000002</c:v>
                </c:pt>
                <c:pt idx="541" formatCode="General">
                  <c:v>29.746590000000001</c:v>
                </c:pt>
                <c:pt idx="542" formatCode="General">
                  <c:v>30.648002999999999</c:v>
                </c:pt>
                <c:pt idx="543" formatCode="General">
                  <c:v>31.549413999999999</c:v>
                </c:pt>
                <c:pt idx="544" formatCode="General">
                  <c:v>32.450825000000002</c:v>
                </c:pt>
                <c:pt idx="545" formatCode="General">
                  <c:v>33.352238</c:v>
                </c:pt>
                <c:pt idx="546" formatCode="General">
                  <c:v>34.25365</c:v>
                </c:pt>
                <c:pt idx="547" formatCode="General">
                  <c:v>35.155059999999999</c:v>
                </c:pt>
                <c:pt idx="548" formatCode="General">
                  <c:v>36.056472999999997</c:v>
                </c:pt>
                <c:pt idx="549" formatCode="General">
                  <c:v>36.957886000000002</c:v>
                </c:pt>
                <c:pt idx="550" formatCode="General">
                  <c:v>37.859295000000003</c:v>
                </c:pt>
                <c:pt idx="551" formatCode="General">
                  <c:v>38.760708000000001</c:v>
                </c:pt>
                <c:pt idx="552" formatCode="General">
                  <c:v>39.662120000000002</c:v>
                </c:pt>
                <c:pt idx="553" formatCode="General">
                  <c:v>40.563533999999997</c:v>
                </c:pt>
                <c:pt idx="554" formatCode="General">
                  <c:v>41.464942999999998</c:v>
                </c:pt>
                <c:pt idx="555" formatCode="General">
                  <c:v>42.366356000000003</c:v>
                </c:pt>
                <c:pt idx="556" formatCode="General">
                  <c:v>43.267769999999999</c:v>
                </c:pt>
                <c:pt idx="557" formatCode="General">
                  <c:v>44.169178000000002</c:v>
                </c:pt>
                <c:pt idx="558" formatCode="General">
                  <c:v>45.070590000000003</c:v>
                </c:pt>
                <c:pt idx="559" formatCode="General">
                  <c:v>45.972003999999998</c:v>
                </c:pt>
                <c:pt idx="560" formatCode="General">
                  <c:v>46.873412999999999</c:v>
                </c:pt>
                <c:pt idx="561" formatCode="General">
                  <c:v>47.774825999999997</c:v>
                </c:pt>
                <c:pt idx="562" formatCode="General">
                  <c:v>48.67624</c:v>
                </c:pt>
                <c:pt idx="563" formatCode="General">
                  <c:v>49.577652</c:v>
                </c:pt>
                <c:pt idx="564" formatCode="General">
                  <c:v>50.479059999999997</c:v>
                </c:pt>
                <c:pt idx="565" formatCode="General">
                  <c:v>51.380474</c:v>
                </c:pt>
                <c:pt idx="566" formatCode="General">
                  <c:v>52.281886999999998</c:v>
                </c:pt>
                <c:pt idx="567" formatCode="General">
                  <c:v>53.183295999999999</c:v>
                </c:pt>
                <c:pt idx="568" formatCode="General">
                  <c:v>54.084710000000001</c:v>
                </c:pt>
                <c:pt idx="569" formatCode="General">
                  <c:v>54.986122000000002</c:v>
                </c:pt>
                <c:pt idx="570" formatCode="General">
                  <c:v>55.887529999999998</c:v>
                </c:pt>
                <c:pt idx="571" formatCode="General">
                  <c:v>56.788944000000001</c:v>
                </c:pt>
                <c:pt idx="572" formatCode="General">
                  <c:v>57.690356999999999</c:v>
                </c:pt>
                <c:pt idx="573" formatCode="General">
                  <c:v>58.591769999999997</c:v>
                </c:pt>
                <c:pt idx="574" formatCode="General">
                  <c:v>59.493180000000002</c:v>
                </c:pt>
                <c:pt idx="575" formatCode="General">
                  <c:v>60.394592000000003</c:v>
                </c:pt>
                <c:pt idx="576" formatCode="General">
                  <c:v>61.296005000000001</c:v>
                </c:pt>
                <c:pt idx="577" formatCode="General">
                  <c:v>62.197414000000002</c:v>
                </c:pt>
                <c:pt idx="578" formatCode="General">
                  <c:v>63.098827</c:v>
                </c:pt>
                <c:pt idx="579" formatCode="General">
                  <c:v>64.000240000000005</c:v>
                </c:pt>
                <c:pt idx="580" formatCode="General">
                  <c:v>64.901650000000004</c:v>
                </c:pt>
                <c:pt idx="581" formatCode="General">
                  <c:v>65.803060000000002</c:v>
                </c:pt>
                <c:pt idx="582" formatCode="General">
                  <c:v>66.704475000000002</c:v>
                </c:pt>
                <c:pt idx="583" formatCode="General">
                  <c:v>67.605890000000002</c:v>
                </c:pt>
                <c:pt idx="584" formatCode="General">
                  <c:v>68.507300000000001</c:v>
                </c:pt>
                <c:pt idx="585" formatCode="General">
                  <c:v>69.408714000000003</c:v>
                </c:pt>
                <c:pt idx="586" formatCode="General">
                  <c:v>70.310119999999998</c:v>
                </c:pt>
                <c:pt idx="587" formatCode="General">
                  <c:v>71.211529999999996</c:v>
                </c:pt>
                <c:pt idx="588" formatCode="General">
                  <c:v>72.112945999999994</c:v>
                </c:pt>
                <c:pt idx="589" formatCode="General">
                  <c:v>73.014359999999996</c:v>
                </c:pt>
                <c:pt idx="590" formatCode="General">
                  <c:v>73.915769999999995</c:v>
                </c:pt>
                <c:pt idx="591" formatCode="General">
                  <c:v>74.817183999999997</c:v>
                </c:pt>
                <c:pt idx="592" formatCode="General">
                  <c:v>75.718590000000006</c:v>
                </c:pt>
                <c:pt idx="593" formatCode="General">
                  <c:v>76.62</c:v>
                </c:pt>
                <c:pt idx="594" formatCode="General">
                  <c:v>77.521416000000002</c:v>
                </c:pt>
                <c:pt idx="595" formatCode="General">
                  <c:v>78.422830000000005</c:v>
                </c:pt>
                <c:pt idx="596" formatCode="General">
                  <c:v>79.324240000000003</c:v>
                </c:pt>
                <c:pt idx="597" formatCode="General">
                  <c:v>80.225655000000003</c:v>
                </c:pt>
                <c:pt idx="598" formatCode="General">
                  <c:v>81.127070000000003</c:v>
                </c:pt>
                <c:pt idx="599" formatCode="General">
                  <c:v>82.028469999999999</c:v>
                </c:pt>
                <c:pt idx="600" formatCode="General">
                  <c:v>82.929885999999996</c:v>
                </c:pt>
                <c:pt idx="601" formatCode="General">
                  <c:v>83.831299999999999</c:v>
                </c:pt>
                <c:pt idx="602" formatCode="General">
                  <c:v>84.732709999999997</c:v>
                </c:pt>
                <c:pt idx="603" formatCode="General">
                  <c:v>85.634124999999997</c:v>
                </c:pt>
                <c:pt idx="604" formatCode="General">
                  <c:v>86.535539999999997</c:v>
                </c:pt>
                <c:pt idx="605" formatCode="General">
                  <c:v>87.436949999999996</c:v>
                </c:pt>
                <c:pt idx="606" formatCode="General">
                  <c:v>88.338356000000005</c:v>
                </c:pt>
                <c:pt idx="607" formatCode="General">
                  <c:v>89.239769999999993</c:v>
                </c:pt>
                <c:pt idx="608" formatCode="General">
                  <c:v>90.141180000000006</c:v>
                </c:pt>
                <c:pt idx="609" formatCode="General">
                  <c:v>91.042595000000006</c:v>
                </c:pt>
                <c:pt idx="610" formatCode="General">
                  <c:v>91.944010000000006</c:v>
                </c:pt>
                <c:pt idx="611" formatCode="General">
                  <c:v>92.845420000000004</c:v>
                </c:pt>
                <c:pt idx="612" formatCode="General">
                  <c:v>93.746825999999999</c:v>
                </c:pt>
                <c:pt idx="613" formatCode="General">
                  <c:v>94.648240000000001</c:v>
                </c:pt>
                <c:pt idx="614" formatCode="General">
                  <c:v>95.54965</c:v>
                </c:pt>
                <c:pt idx="615" formatCode="General">
                  <c:v>96.451065</c:v>
                </c:pt>
                <c:pt idx="616" formatCode="General">
                  <c:v>97.35248</c:v>
                </c:pt>
                <c:pt idx="617" formatCode="General">
                  <c:v>98.253889999999998</c:v>
                </c:pt>
                <c:pt idx="618" formatCode="General">
                  <c:v>99.155304000000001</c:v>
                </c:pt>
                <c:pt idx="619" formatCode="General">
                  <c:v>100.05671</c:v>
                </c:pt>
                <c:pt idx="620" formatCode="General">
                  <c:v>100.95811999999999</c:v>
                </c:pt>
                <c:pt idx="621" formatCode="General">
                  <c:v>101.85953499999999</c:v>
                </c:pt>
                <c:pt idx="622" formatCode="General">
                  <c:v>102.76094999999999</c:v>
                </c:pt>
                <c:pt idx="623" formatCode="General">
                  <c:v>103.66236000000001</c:v>
                </c:pt>
                <c:pt idx="624" formatCode="General">
                  <c:v>104.563774</c:v>
                </c:pt>
                <c:pt idx="625" formatCode="General">
                  <c:v>105.46519000000001</c:v>
                </c:pt>
                <c:pt idx="626" formatCode="General">
                  <c:v>106.36659</c:v>
                </c:pt>
                <c:pt idx="627" formatCode="General">
                  <c:v>107.268005</c:v>
                </c:pt>
                <c:pt idx="628" formatCode="General">
                  <c:v>108.16942</c:v>
                </c:pt>
                <c:pt idx="629" formatCode="General">
                  <c:v>109.07083</c:v>
                </c:pt>
                <c:pt idx="630" formatCode="General">
                  <c:v>109.972244</c:v>
                </c:pt>
                <c:pt idx="631" formatCode="General">
                  <c:v>110.87366</c:v>
                </c:pt>
                <c:pt idx="632" formatCode="General">
                  <c:v>111.77506</c:v>
                </c:pt>
                <c:pt idx="633" formatCode="General">
                  <c:v>112.67647599999999</c:v>
                </c:pt>
                <c:pt idx="634" formatCode="General">
                  <c:v>113.57789</c:v>
                </c:pt>
                <c:pt idx="635" formatCode="General">
                  <c:v>114.47929999999999</c:v>
                </c:pt>
                <c:pt idx="636" formatCode="General">
                  <c:v>115.380714</c:v>
                </c:pt>
                <c:pt idx="637" formatCode="General">
                  <c:v>116.28213</c:v>
                </c:pt>
                <c:pt idx="638" formatCode="General">
                  <c:v>117.18353999999999</c:v>
                </c:pt>
                <c:pt idx="639" formatCode="General">
                  <c:v>118.084946</c:v>
                </c:pt>
                <c:pt idx="640" formatCode="General">
                  <c:v>118.98636</c:v>
                </c:pt>
                <c:pt idx="641" formatCode="General">
                  <c:v>119.88777</c:v>
                </c:pt>
                <c:pt idx="642" formatCode="General">
                  <c:v>120.789185</c:v>
                </c:pt>
                <c:pt idx="643" formatCode="General">
                  <c:v>121.6906</c:v>
                </c:pt>
                <c:pt idx="644" formatCode="General">
                  <c:v>122.59201</c:v>
                </c:pt>
                <c:pt idx="645" formatCode="General">
                  <c:v>123.49342</c:v>
                </c:pt>
                <c:pt idx="646" formatCode="General">
                  <c:v>124.39483</c:v>
                </c:pt>
                <c:pt idx="647" formatCode="General">
                  <c:v>125.29624</c:v>
                </c:pt>
                <c:pt idx="648" formatCode="General">
                  <c:v>126.197655</c:v>
                </c:pt>
                <c:pt idx="649" formatCode="General">
                  <c:v>127.09907</c:v>
                </c:pt>
                <c:pt idx="650" formatCode="General">
                  <c:v>128.00047000000001</c:v>
                </c:pt>
                <c:pt idx="651" formatCode="General">
                  <c:v>128.90189000000001</c:v>
                </c:pt>
                <c:pt idx="652" formatCode="General">
                  <c:v>129.80330000000001</c:v>
                </c:pt>
                <c:pt idx="653" formatCode="General">
                  <c:v>130.70471000000001</c:v>
                </c:pt>
                <c:pt idx="654" formatCode="General">
                  <c:v>131.60612</c:v>
                </c:pt>
                <c:pt idx="655" formatCode="General">
                  <c:v>132.50754000000001</c:v>
                </c:pt>
                <c:pt idx="656" formatCode="General">
                  <c:v>133.40895</c:v>
                </c:pt>
                <c:pt idx="657" formatCode="General">
                  <c:v>134.31036</c:v>
                </c:pt>
                <c:pt idx="658" formatCode="General">
                  <c:v>135.21178</c:v>
                </c:pt>
              </c:numCache>
            </c:numRef>
          </c:xVal>
          <c:yVal>
            <c:numRef>
              <c:f>(MIFT_ref60s!$B$3:$B$62,MIFT_ref60s!$E$63:$E$122,MIFT_ref60s!$H$123:$H$146,MIFT_ref60s!$K$147:$K$511,MIFT_ref60s!$N$512:$N$661)</c:f>
              <c:numCache>
                <c:formatCode>General</c:formatCode>
                <c:ptCount val="659"/>
                <c:pt idx="0">
                  <c:v>0.46121909999999999</c:v>
                </c:pt>
                <c:pt idx="1">
                  <c:v>0.47098489999999998</c:v>
                </c:pt>
                <c:pt idx="2">
                  <c:v>0.47894487000000002</c:v>
                </c:pt>
                <c:pt idx="3">
                  <c:v>0.48518973999999998</c:v>
                </c:pt>
                <c:pt idx="4">
                  <c:v>0.49062228000000002</c:v>
                </c:pt>
                <c:pt idx="5">
                  <c:v>0.49511280000000002</c:v>
                </c:pt>
                <c:pt idx="6">
                  <c:v>0.49952026999999999</c:v>
                </c:pt>
                <c:pt idx="7">
                  <c:v>0.50352419999999998</c:v>
                </c:pt>
                <c:pt idx="8">
                  <c:v>0.50712466</c:v>
                </c:pt>
                <c:pt idx="9">
                  <c:v>0.51008819999999999</c:v>
                </c:pt>
                <c:pt idx="10">
                  <c:v>0.51258062999999998</c:v>
                </c:pt>
                <c:pt idx="11">
                  <c:v>0.51507305999999997</c:v>
                </c:pt>
                <c:pt idx="12">
                  <c:v>0.51756550000000001</c:v>
                </c:pt>
                <c:pt idx="13">
                  <c:v>0.52005789999999996</c:v>
                </c:pt>
                <c:pt idx="14">
                  <c:v>0.52255039999999997</c:v>
                </c:pt>
                <c:pt idx="15">
                  <c:v>0.52490800000000004</c:v>
                </c:pt>
                <c:pt idx="16">
                  <c:v>0.52706337000000003</c:v>
                </c:pt>
                <c:pt idx="17">
                  <c:v>0.52921879999999999</c:v>
                </c:pt>
                <c:pt idx="18">
                  <c:v>0.53137416000000004</c:v>
                </c:pt>
                <c:pt idx="19">
                  <c:v>0.53352960000000005</c:v>
                </c:pt>
                <c:pt idx="20">
                  <c:v>0.53568494</c:v>
                </c:pt>
                <c:pt idx="21">
                  <c:v>0.5377343</c:v>
                </c:pt>
                <c:pt idx="22">
                  <c:v>0.53962463000000005</c:v>
                </c:pt>
                <c:pt idx="23">
                  <c:v>0.54151499999999997</c:v>
                </c:pt>
                <c:pt idx="24">
                  <c:v>0.54340529999999998</c:v>
                </c:pt>
                <c:pt idx="25">
                  <c:v>0.54529565999999996</c:v>
                </c:pt>
                <c:pt idx="26">
                  <c:v>0.54718595999999997</c:v>
                </c:pt>
                <c:pt idx="27">
                  <c:v>0.54904496999999997</c:v>
                </c:pt>
                <c:pt idx="28">
                  <c:v>0.55083965999999995</c:v>
                </c:pt>
                <c:pt idx="29">
                  <c:v>0.55260989999999999</c:v>
                </c:pt>
                <c:pt idx="30">
                  <c:v>0.55435559999999995</c:v>
                </c:pt>
                <c:pt idx="31">
                  <c:v>0.55607680000000004</c:v>
                </c:pt>
                <c:pt idx="32">
                  <c:v>0.55777350000000003</c:v>
                </c:pt>
                <c:pt idx="33">
                  <c:v>0.55944240000000001</c:v>
                </c:pt>
                <c:pt idx="34">
                  <c:v>0.56108009999999997</c:v>
                </c:pt>
                <c:pt idx="35">
                  <c:v>0.56269069999999999</c:v>
                </c:pt>
                <c:pt idx="36">
                  <c:v>0.56427424999999998</c:v>
                </c:pt>
                <c:pt idx="37">
                  <c:v>0.56583070000000002</c:v>
                </c:pt>
                <c:pt idx="38">
                  <c:v>0.56736010000000003</c:v>
                </c:pt>
                <c:pt idx="39">
                  <c:v>0.56886800000000004</c:v>
                </c:pt>
                <c:pt idx="40">
                  <c:v>0.57036010000000004</c:v>
                </c:pt>
                <c:pt idx="41">
                  <c:v>0.57182955999999996</c:v>
                </c:pt>
                <c:pt idx="42">
                  <c:v>0.57327620000000001</c:v>
                </c:pt>
                <c:pt idx="43">
                  <c:v>0.57470010000000005</c:v>
                </c:pt>
                <c:pt idx="44">
                  <c:v>0.57610136000000001</c:v>
                </c:pt>
                <c:pt idx="45">
                  <c:v>0.57748449999999996</c:v>
                </c:pt>
                <c:pt idx="46">
                  <c:v>0.5788546</c:v>
                </c:pt>
                <c:pt idx="47">
                  <c:v>0.58020570000000005</c:v>
                </c:pt>
                <c:pt idx="48">
                  <c:v>0.58153770000000005</c:v>
                </c:pt>
                <c:pt idx="49">
                  <c:v>0.58285070000000005</c:v>
                </c:pt>
                <c:pt idx="50">
                  <c:v>0.58414460000000001</c:v>
                </c:pt>
                <c:pt idx="51">
                  <c:v>0.58542185999999996</c:v>
                </c:pt>
                <c:pt idx="52">
                  <c:v>0.58668580000000004</c:v>
                </c:pt>
                <c:pt idx="53">
                  <c:v>0.58793395999999998</c:v>
                </c:pt>
                <c:pt idx="54">
                  <c:v>0.58916690000000005</c:v>
                </c:pt>
                <c:pt idx="55">
                  <c:v>0.59038495999999996</c:v>
                </c:pt>
                <c:pt idx="56">
                  <c:v>0.59158873999999995</c:v>
                </c:pt>
                <c:pt idx="57">
                  <c:v>0.5927789</c:v>
                </c:pt>
                <c:pt idx="58">
                  <c:v>0.5939567</c:v>
                </c:pt>
                <c:pt idx="59">
                  <c:v>0.59512200000000004</c:v>
                </c:pt>
                <c:pt idx="60">
                  <c:v>0.59202630000000001</c:v>
                </c:pt>
                <c:pt idx="61">
                  <c:v>0.64623094000000003</c:v>
                </c:pt>
                <c:pt idx="62">
                  <c:v>0.68467999999999996</c:v>
                </c:pt>
                <c:pt idx="63">
                  <c:v>0.71638369999999996</c:v>
                </c:pt>
                <c:pt idx="64">
                  <c:v>0.74122363000000002</c:v>
                </c:pt>
                <c:pt idx="65">
                  <c:v>0.76555669999999998</c:v>
                </c:pt>
                <c:pt idx="66">
                  <c:v>0.78630566999999996</c:v>
                </c:pt>
                <c:pt idx="67">
                  <c:v>0.80631673000000004</c:v>
                </c:pt>
                <c:pt idx="68">
                  <c:v>0.82426774999999997</c:v>
                </c:pt>
                <c:pt idx="69">
                  <c:v>0.84145135000000004</c:v>
                </c:pt>
                <c:pt idx="70">
                  <c:v>0.85663330000000004</c:v>
                </c:pt>
                <c:pt idx="71">
                  <c:v>0.87062919999999999</c:v>
                </c:pt>
                <c:pt idx="72">
                  <c:v>0.88462510000000005</c:v>
                </c:pt>
                <c:pt idx="73">
                  <c:v>0.89862096000000002</c:v>
                </c:pt>
                <c:pt idx="74">
                  <c:v>0.91175585999999997</c:v>
                </c:pt>
                <c:pt idx="75">
                  <c:v>0.92373335000000001</c:v>
                </c:pt>
                <c:pt idx="76">
                  <c:v>0.93571084999999998</c:v>
                </c:pt>
                <c:pt idx="77">
                  <c:v>0.94768834000000002</c:v>
                </c:pt>
                <c:pt idx="78">
                  <c:v>0.95935093999999999</c:v>
                </c:pt>
                <c:pt idx="79">
                  <c:v>0.96993039999999997</c:v>
                </c:pt>
                <c:pt idx="80">
                  <c:v>0.98050990000000005</c:v>
                </c:pt>
                <c:pt idx="81">
                  <c:v>0.99108934000000004</c:v>
                </c:pt>
                <c:pt idx="82">
                  <c:v>1.0016596</c:v>
                </c:pt>
                <c:pt idx="83">
                  <c:v>1.0117643999999999</c:v>
                </c:pt>
                <c:pt idx="84">
                  <c:v>1.0216882</c:v>
                </c:pt>
                <c:pt idx="85">
                  <c:v>1.0314312000000001</c:v>
                </c:pt>
                <c:pt idx="86">
                  <c:v>1.0409933</c:v>
                </c:pt>
                <c:pt idx="87">
                  <c:v>1.0503745</c:v>
                </c:pt>
                <c:pt idx="88">
                  <c:v>1.0595745000000001</c:v>
                </c:pt>
                <c:pt idx="89">
                  <c:v>1.0685750000000001</c:v>
                </c:pt>
                <c:pt idx="90">
                  <c:v>1.0773892</c:v>
                </c:pt>
                <c:pt idx="91">
                  <c:v>1.0860174</c:v>
                </c:pt>
                <c:pt idx="92">
                  <c:v>1.0944592</c:v>
                </c:pt>
                <c:pt idx="93">
                  <c:v>1.1027146999999999</c:v>
                </c:pt>
                <c:pt idx="94">
                  <c:v>1.1107868000000001</c:v>
                </c:pt>
                <c:pt idx="95">
                  <c:v>1.1188047999999999</c:v>
                </c:pt>
                <c:pt idx="96">
                  <c:v>1.1266748</c:v>
                </c:pt>
                <c:pt idx="97">
                  <c:v>1.1343969</c:v>
                </c:pt>
                <c:pt idx="98">
                  <c:v>1.1419710999999999</c:v>
                </c:pt>
                <c:pt idx="99">
                  <c:v>1.1493974</c:v>
                </c:pt>
                <c:pt idx="100">
                  <c:v>1.1566780000000001</c:v>
                </c:pt>
                <c:pt idx="101">
                  <c:v>1.1639215999999999</c:v>
                </c:pt>
                <c:pt idx="102">
                  <c:v>1.1710495999999999</c:v>
                </c:pt>
                <c:pt idx="103">
                  <c:v>1.1780617</c:v>
                </c:pt>
                <c:pt idx="104">
                  <c:v>1.1849581</c:v>
                </c:pt>
                <c:pt idx="105">
                  <c:v>1.1917386000000001</c:v>
                </c:pt>
                <c:pt idx="106">
                  <c:v>1.1984051</c:v>
                </c:pt>
                <c:pt idx="107">
                  <c:v>1.2050342999999999</c:v>
                </c:pt>
                <c:pt idx="108">
                  <c:v>1.2115704</c:v>
                </c:pt>
                <c:pt idx="109">
                  <c:v>1.2180134</c:v>
                </c:pt>
                <c:pt idx="110">
                  <c:v>1.2243634000000001</c:v>
                </c:pt>
                <c:pt idx="111">
                  <c:v>1.2306204000000001</c:v>
                </c:pt>
                <c:pt idx="112">
                  <c:v>1.2367855000000001</c:v>
                </c:pt>
                <c:pt idx="113">
                  <c:v>1.2429140999999999</c:v>
                </c:pt>
                <c:pt idx="114">
                  <c:v>1.248966</c:v>
                </c:pt>
                <c:pt idx="115">
                  <c:v>1.2549412</c:v>
                </c:pt>
                <c:pt idx="116">
                  <c:v>1.2608398000000001</c:v>
                </c:pt>
                <c:pt idx="117">
                  <c:v>1.2666618000000001</c:v>
                </c:pt>
                <c:pt idx="118">
                  <c:v>1.2724074000000001</c:v>
                </c:pt>
                <c:pt idx="119">
                  <c:v>1.2780967000000001</c:v>
                </c:pt>
                <c:pt idx="120">
                  <c:v>1.2836704999999999</c:v>
                </c:pt>
                <c:pt idx="121">
                  <c:v>1.5433486999999999</c:v>
                </c:pt>
                <c:pt idx="122">
                  <c:v>1.7195399</c:v>
                </c:pt>
                <c:pt idx="123">
                  <c:v>1.854363</c:v>
                </c:pt>
                <c:pt idx="124">
                  <c:v>1.9606551999999999</c:v>
                </c:pt>
                <c:pt idx="125">
                  <c:v>2.0488903999999999</c:v>
                </c:pt>
                <c:pt idx="126">
                  <c:v>2.1246125999999999</c:v>
                </c:pt>
                <c:pt idx="127">
                  <c:v>2.191017</c:v>
                </c:pt>
                <c:pt idx="128">
                  <c:v>2.2499365999999998</c:v>
                </c:pt>
                <c:pt idx="129">
                  <c:v>2.3026135000000001</c:v>
                </c:pt>
                <c:pt idx="130">
                  <c:v>2.3501248000000001</c:v>
                </c:pt>
                <c:pt idx="131">
                  <c:v>2.3933916000000002</c:v>
                </c:pt>
                <c:pt idx="132">
                  <c:v>2.4333909999999999</c:v>
                </c:pt>
                <c:pt idx="133">
                  <c:v>2.4702510000000002</c:v>
                </c:pt>
                <c:pt idx="134">
                  <c:v>2.5045996000000001</c:v>
                </c:pt>
                <c:pt idx="135">
                  <c:v>2.5368141999999998</c:v>
                </c:pt>
                <c:pt idx="136">
                  <c:v>2.5670446999999998</c:v>
                </c:pt>
                <c:pt idx="137">
                  <c:v>2.5957463000000001</c:v>
                </c:pt>
                <c:pt idx="138">
                  <c:v>2.622763</c:v>
                </c:pt>
                <c:pt idx="139">
                  <c:v>2.6484504000000002</c:v>
                </c:pt>
                <c:pt idx="140">
                  <c:v>2.6728532</c:v>
                </c:pt>
                <c:pt idx="141">
                  <c:v>2.6960570000000001</c:v>
                </c:pt>
                <c:pt idx="142">
                  <c:v>2.7182086000000001</c:v>
                </c:pt>
                <c:pt idx="143">
                  <c:v>2.7393657999999999</c:v>
                </c:pt>
                <c:pt idx="144">
                  <c:v>2.7778236999999999</c:v>
                </c:pt>
                <c:pt idx="145">
                  <c:v>3.1041639999999999</c:v>
                </c:pt>
                <c:pt idx="146">
                  <c:v>3.3091780000000002</c:v>
                </c:pt>
                <c:pt idx="147">
                  <c:v>3.4646865999999998</c:v>
                </c:pt>
                <c:pt idx="148">
                  <c:v>3.5961664</c:v>
                </c:pt>
                <c:pt idx="149">
                  <c:v>3.7144341000000001</c:v>
                </c:pt>
                <c:pt idx="150">
                  <c:v>3.8213097999999999</c:v>
                </c:pt>
                <c:pt idx="151">
                  <c:v>3.9204667</c:v>
                </c:pt>
                <c:pt idx="152">
                  <c:v>4.0133210000000004</c:v>
                </c:pt>
                <c:pt idx="153">
                  <c:v>4.1004810000000003</c:v>
                </c:pt>
                <c:pt idx="154">
                  <c:v>4.1831240000000003</c:v>
                </c:pt>
                <c:pt idx="155">
                  <c:v>4.2619660000000001</c:v>
                </c:pt>
                <c:pt idx="156">
                  <c:v>4.3382740000000002</c:v>
                </c:pt>
                <c:pt idx="157">
                  <c:v>4.4121356</c:v>
                </c:pt>
                <c:pt idx="158">
                  <c:v>4.4839909999999996</c:v>
                </c:pt>
                <c:pt idx="159">
                  <c:v>4.5541244000000001</c:v>
                </c:pt>
                <c:pt idx="160">
                  <c:v>4.6227229999999997</c:v>
                </c:pt>
                <c:pt idx="161">
                  <c:v>4.6898660000000003</c:v>
                </c:pt>
                <c:pt idx="162">
                  <c:v>4.755738</c:v>
                </c:pt>
                <c:pt idx="163">
                  <c:v>4.8204435999999999</c:v>
                </c:pt>
                <c:pt idx="164">
                  <c:v>4.8841219999999996</c:v>
                </c:pt>
                <c:pt idx="165">
                  <c:v>4.9468769999999997</c:v>
                </c:pt>
                <c:pt idx="166">
                  <c:v>5.0088505999999997</c:v>
                </c:pt>
                <c:pt idx="167">
                  <c:v>5.070176</c:v>
                </c:pt>
                <c:pt idx="168">
                  <c:v>5.1309769999999997</c:v>
                </c:pt>
                <c:pt idx="169">
                  <c:v>5.1911125</c:v>
                </c:pt>
                <c:pt idx="170">
                  <c:v>5.2506180000000002</c:v>
                </c:pt>
                <c:pt idx="171">
                  <c:v>5.3094939999999999</c:v>
                </c:pt>
                <c:pt idx="172">
                  <c:v>5.3677406000000003</c:v>
                </c:pt>
                <c:pt idx="173">
                  <c:v>5.4253572999999999</c:v>
                </c:pt>
                <c:pt idx="174">
                  <c:v>5.4823446000000002</c:v>
                </c:pt>
                <c:pt idx="175">
                  <c:v>5.5387154000000001</c:v>
                </c:pt>
                <c:pt idx="176">
                  <c:v>5.5945783000000002</c:v>
                </c:pt>
                <c:pt idx="177">
                  <c:v>5.6498439999999999</c:v>
                </c:pt>
                <c:pt idx="178">
                  <c:v>5.7045139999999996</c:v>
                </c:pt>
                <c:pt idx="179">
                  <c:v>5.7585870000000003</c:v>
                </c:pt>
                <c:pt idx="180">
                  <c:v>5.8120637000000004</c:v>
                </c:pt>
                <c:pt idx="181">
                  <c:v>5.8649434999999999</c:v>
                </c:pt>
                <c:pt idx="182">
                  <c:v>5.9173039999999997</c:v>
                </c:pt>
                <c:pt idx="183">
                  <c:v>5.9695473000000003</c:v>
                </c:pt>
                <c:pt idx="184">
                  <c:v>6.0213283999999998</c:v>
                </c:pt>
                <c:pt idx="185">
                  <c:v>6.0726475999999998</c:v>
                </c:pt>
                <c:pt idx="186">
                  <c:v>6.1235039999999996</c:v>
                </c:pt>
                <c:pt idx="187">
                  <c:v>6.1738989999999996</c:v>
                </c:pt>
                <c:pt idx="188">
                  <c:v>6.2238319999999998</c:v>
                </c:pt>
                <c:pt idx="189">
                  <c:v>6.2733030000000003</c:v>
                </c:pt>
                <c:pt idx="190">
                  <c:v>6.3223120000000002</c:v>
                </c:pt>
                <c:pt idx="191">
                  <c:v>6.3708587000000003</c:v>
                </c:pt>
                <c:pt idx="192">
                  <c:v>6.4189433999999999</c:v>
                </c:pt>
                <c:pt idx="193">
                  <c:v>6.4665660000000003</c:v>
                </c:pt>
                <c:pt idx="194">
                  <c:v>6.5137270000000003</c:v>
                </c:pt>
                <c:pt idx="195">
                  <c:v>6.5604258</c:v>
                </c:pt>
                <c:pt idx="196">
                  <c:v>6.6067580000000001</c:v>
                </c:pt>
                <c:pt idx="197">
                  <c:v>6.6529226000000001</c:v>
                </c:pt>
                <c:pt idx="198">
                  <c:v>6.6986749999999997</c:v>
                </c:pt>
                <c:pt idx="199">
                  <c:v>6.7440166000000001</c:v>
                </c:pt>
                <c:pt idx="200">
                  <c:v>6.7889460000000001</c:v>
                </c:pt>
                <c:pt idx="201">
                  <c:v>6.8334646000000001</c:v>
                </c:pt>
                <c:pt idx="202">
                  <c:v>6.8775709999999997</c:v>
                </c:pt>
                <c:pt idx="203">
                  <c:v>6.9212666</c:v>
                </c:pt>
                <c:pt idx="204">
                  <c:v>6.96455</c:v>
                </c:pt>
                <c:pt idx="205">
                  <c:v>7.0074224000000003</c:v>
                </c:pt>
                <c:pt idx="206">
                  <c:v>7.0498830000000003</c:v>
                </c:pt>
                <c:pt idx="207">
                  <c:v>7.0919784999999997</c:v>
                </c:pt>
                <c:pt idx="208">
                  <c:v>7.1340994999999996</c:v>
                </c:pt>
                <c:pt idx="209">
                  <c:v>7.1758870000000003</c:v>
                </c:pt>
                <c:pt idx="210">
                  <c:v>7.2173410000000002</c:v>
                </c:pt>
                <c:pt idx="211">
                  <c:v>7.2584619999999997</c:v>
                </c:pt>
                <c:pt idx="212">
                  <c:v>7.2992489999999997</c:v>
                </c:pt>
                <c:pt idx="213">
                  <c:v>7.3397030000000001</c:v>
                </c:pt>
                <c:pt idx="214">
                  <c:v>7.3798237000000002</c:v>
                </c:pt>
                <c:pt idx="215">
                  <c:v>7.4196109999999997</c:v>
                </c:pt>
                <c:pt idx="216">
                  <c:v>7.4590645000000002</c:v>
                </c:pt>
                <c:pt idx="217">
                  <c:v>7.4981847000000004</c:v>
                </c:pt>
                <c:pt idx="218">
                  <c:v>7.5369719999999996</c:v>
                </c:pt>
                <c:pt idx="219">
                  <c:v>7.575666</c:v>
                </c:pt>
                <c:pt idx="220">
                  <c:v>7.6140829999999999</c:v>
                </c:pt>
                <c:pt idx="221">
                  <c:v>7.6522079999999999</c:v>
                </c:pt>
                <c:pt idx="222">
                  <c:v>7.690042</c:v>
                </c:pt>
                <c:pt idx="223">
                  <c:v>7.7275850000000004</c:v>
                </c:pt>
                <c:pt idx="224">
                  <c:v>7.7648362999999998</c:v>
                </c:pt>
                <c:pt idx="225">
                  <c:v>7.8017969999999996</c:v>
                </c:pt>
                <c:pt idx="226">
                  <c:v>7.8384660000000004</c:v>
                </c:pt>
                <c:pt idx="227">
                  <c:v>7.8748440000000004</c:v>
                </c:pt>
                <c:pt idx="228">
                  <c:v>7.9109309999999997</c:v>
                </c:pt>
                <c:pt idx="229">
                  <c:v>7.9467270000000001</c:v>
                </c:pt>
                <c:pt idx="230">
                  <c:v>7.9824032999999996</c:v>
                </c:pt>
                <c:pt idx="231">
                  <c:v>8.0178700000000003</c:v>
                </c:pt>
                <c:pt idx="232">
                  <c:v>8.0530819999999999</c:v>
                </c:pt>
                <c:pt idx="233">
                  <c:v>8.0880399999999995</c:v>
                </c:pt>
                <c:pt idx="234">
                  <c:v>8.1227450000000001</c:v>
                </c:pt>
                <c:pt idx="235">
                  <c:v>8.1571940000000005</c:v>
                </c:pt>
                <c:pt idx="236">
                  <c:v>8.1913900000000002</c:v>
                </c:pt>
                <c:pt idx="237">
                  <c:v>8.2253310000000006</c:v>
                </c:pt>
                <c:pt idx="238">
                  <c:v>8.2590179999999993</c:v>
                </c:pt>
                <c:pt idx="239">
                  <c:v>8.2924509999999998</c:v>
                </c:pt>
                <c:pt idx="240">
                  <c:v>8.3256289999999993</c:v>
                </c:pt>
                <c:pt idx="241">
                  <c:v>8.3586139999999993</c:v>
                </c:pt>
                <c:pt idx="242">
                  <c:v>8.3914010000000001</c:v>
                </c:pt>
                <c:pt idx="243">
                  <c:v>8.4239619999999995</c:v>
                </c:pt>
                <c:pt idx="244">
                  <c:v>8.4562980000000003</c:v>
                </c:pt>
                <c:pt idx="245">
                  <c:v>8.4884120000000003</c:v>
                </c:pt>
                <c:pt idx="246">
                  <c:v>8.5203050000000005</c:v>
                </c:pt>
                <c:pt idx="247">
                  <c:v>8.5519800000000004</c:v>
                </c:pt>
                <c:pt idx="248">
                  <c:v>8.5834399999999995</c:v>
                </c:pt>
                <c:pt idx="249">
                  <c:v>8.6146849999999997</c:v>
                </c:pt>
                <c:pt idx="250">
                  <c:v>8.6457189999999997</c:v>
                </c:pt>
                <c:pt idx="251">
                  <c:v>8.6765419999999995</c:v>
                </c:pt>
                <c:pt idx="252">
                  <c:v>8.7071590000000008</c:v>
                </c:pt>
                <c:pt idx="253">
                  <c:v>8.7375699999999998</c:v>
                </c:pt>
                <c:pt idx="254">
                  <c:v>8.7677779999999998</c:v>
                </c:pt>
                <c:pt idx="255">
                  <c:v>8.7977860000000003</c:v>
                </c:pt>
                <c:pt idx="256">
                  <c:v>8.8275939999999995</c:v>
                </c:pt>
                <c:pt idx="257">
                  <c:v>8.8572050000000004</c:v>
                </c:pt>
                <c:pt idx="258">
                  <c:v>8.8866219999999991</c:v>
                </c:pt>
                <c:pt idx="259">
                  <c:v>8.9158469999999994</c:v>
                </c:pt>
                <c:pt idx="260">
                  <c:v>8.9448810000000005</c:v>
                </c:pt>
                <c:pt idx="261">
                  <c:v>8.9737279999999995</c:v>
                </c:pt>
                <c:pt idx="262">
                  <c:v>9.0023890000000009</c:v>
                </c:pt>
                <c:pt idx="263">
                  <c:v>9.0308700000000002</c:v>
                </c:pt>
                <c:pt idx="264">
                  <c:v>9.0591840000000001</c:v>
                </c:pt>
                <c:pt idx="265">
                  <c:v>9.0873200000000001</c:v>
                </c:pt>
                <c:pt idx="266">
                  <c:v>9.1152829999999998</c:v>
                </c:pt>
                <c:pt idx="267">
                  <c:v>9.1430720000000001</c:v>
                </c:pt>
                <c:pt idx="268">
                  <c:v>9.1706920000000007</c:v>
                </c:pt>
                <c:pt idx="269">
                  <c:v>9.1981439999999992</c:v>
                </c:pt>
                <c:pt idx="270">
                  <c:v>9.2254310000000004</c:v>
                </c:pt>
                <c:pt idx="271">
                  <c:v>9.2525549999999992</c:v>
                </c:pt>
                <c:pt idx="272">
                  <c:v>9.2795170000000002</c:v>
                </c:pt>
                <c:pt idx="273">
                  <c:v>9.3063210000000005</c:v>
                </c:pt>
                <c:pt idx="274">
                  <c:v>9.3329690000000003</c:v>
                </c:pt>
                <c:pt idx="275">
                  <c:v>9.3594629999999999</c:v>
                </c:pt>
                <c:pt idx="276">
                  <c:v>9.3858040000000003</c:v>
                </c:pt>
                <c:pt idx="277">
                  <c:v>9.4119969999999995</c:v>
                </c:pt>
                <c:pt idx="278">
                  <c:v>9.4380430000000004</c:v>
                </c:pt>
                <c:pt idx="279">
                  <c:v>9.4639430000000004</c:v>
                </c:pt>
                <c:pt idx="280">
                  <c:v>9.4896999999999991</c:v>
                </c:pt>
                <c:pt idx="281">
                  <c:v>9.5153180000000006</c:v>
                </c:pt>
                <c:pt idx="282">
                  <c:v>9.5407969999999995</c:v>
                </c:pt>
                <c:pt idx="283">
                  <c:v>9.566141</c:v>
                </c:pt>
                <c:pt idx="284">
                  <c:v>9.5913509999999995</c:v>
                </c:pt>
                <c:pt idx="285">
                  <c:v>9.6164299999999994</c:v>
                </c:pt>
                <c:pt idx="286">
                  <c:v>9.6412820000000004</c:v>
                </c:pt>
                <c:pt idx="287">
                  <c:v>9.665991</c:v>
                </c:pt>
                <c:pt idx="288">
                  <c:v>9.6905610000000006</c:v>
                </c:pt>
                <c:pt idx="289">
                  <c:v>9.7149940000000008</c:v>
                </c:pt>
                <c:pt idx="290">
                  <c:v>9.7392939999999992</c:v>
                </c:pt>
                <c:pt idx="291">
                  <c:v>9.7634600000000002</c:v>
                </c:pt>
                <c:pt idx="292">
                  <c:v>9.7874949999999998</c:v>
                </c:pt>
                <c:pt idx="293">
                  <c:v>9.8113984999999992</c:v>
                </c:pt>
                <c:pt idx="294">
                  <c:v>9.8351755000000001</c:v>
                </c:pt>
                <c:pt idx="295">
                  <c:v>9.8588260000000005</c:v>
                </c:pt>
                <c:pt idx="296">
                  <c:v>9.8823519999999991</c:v>
                </c:pt>
                <c:pt idx="297">
                  <c:v>9.9057549999999992</c:v>
                </c:pt>
                <c:pt idx="298">
                  <c:v>9.929036</c:v>
                </c:pt>
                <c:pt idx="299">
                  <c:v>9.9521979999999992</c:v>
                </c:pt>
                <c:pt idx="300">
                  <c:v>9.9752430000000007</c:v>
                </c:pt>
                <c:pt idx="301">
                  <c:v>9.9981709999999993</c:v>
                </c:pt>
                <c:pt idx="302">
                  <c:v>10.020986000000001</c:v>
                </c:pt>
                <c:pt idx="303">
                  <c:v>10.043687</c:v>
                </c:pt>
                <c:pt idx="304">
                  <c:v>10.066276999999999</c:v>
                </c:pt>
                <c:pt idx="305">
                  <c:v>10.088758</c:v>
                </c:pt>
                <c:pt idx="306">
                  <c:v>10.111132</c:v>
                </c:pt>
                <c:pt idx="307">
                  <c:v>10.1334</c:v>
                </c:pt>
                <c:pt idx="308">
                  <c:v>10.155497</c:v>
                </c:pt>
                <c:pt idx="309">
                  <c:v>10.177443</c:v>
                </c:pt>
                <c:pt idx="310">
                  <c:v>10.199273</c:v>
                </c:pt>
                <c:pt idx="311">
                  <c:v>10.22099</c:v>
                </c:pt>
                <c:pt idx="312">
                  <c:v>10.242594</c:v>
                </c:pt>
                <c:pt idx="313">
                  <c:v>10.264086000000001</c:v>
                </c:pt>
                <c:pt idx="314">
                  <c:v>10.285467000000001</c:v>
                </c:pt>
                <c:pt idx="315">
                  <c:v>10.306739</c:v>
                </c:pt>
                <c:pt idx="316">
                  <c:v>10.327902999999999</c:v>
                </c:pt>
                <c:pt idx="317">
                  <c:v>10.348959000000001</c:v>
                </c:pt>
                <c:pt idx="318">
                  <c:v>10.369908000000001</c:v>
                </c:pt>
                <c:pt idx="319">
                  <c:v>10.390753999999999</c:v>
                </c:pt>
                <c:pt idx="320">
                  <c:v>10.411493999999999</c:v>
                </c:pt>
                <c:pt idx="321">
                  <c:v>10.432131999999999</c:v>
                </c:pt>
                <c:pt idx="322">
                  <c:v>10.452667999999999</c:v>
                </c:pt>
                <c:pt idx="323">
                  <c:v>10.473103999999999</c:v>
                </c:pt>
                <c:pt idx="324">
                  <c:v>10.49344</c:v>
                </c:pt>
                <c:pt idx="325">
                  <c:v>10.513676999999999</c:v>
                </c:pt>
                <c:pt idx="326">
                  <c:v>10.533816</c:v>
                </c:pt>
                <c:pt idx="327">
                  <c:v>10.553860999999999</c:v>
                </c:pt>
                <c:pt idx="328">
                  <c:v>10.573809000000001</c:v>
                </c:pt>
                <c:pt idx="329">
                  <c:v>10.593662999999999</c:v>
                </c:pt>
                <c:pt idx="330">
                  <c:v>10.613407</c:v>
                </c:pt>
                <c:pt idx="331">
                  <c:v>10.633015</c:v>
                </c:pt>
                <c:pt idx="332">
                  <c:v>10.652524</c:v>
                </c:pt>
                <c:pt idx="333">
                  <c:v>10.671935</c:v>
                </c:pt>
                <c:pt idx="334">
                  <c:v>10.69125</c:v>
                </c:pt>
                <c:pt idx="335">
                  <c:v>10.710467</c:v>
                </c:pt>
                <c:pt idx="336">
                  <c:v>10.729589000000001</c:v>
                </c:pt>
                <c:pt idx="337">
                  <c:v>10.748616999999999</c:v>
                </c:pt>
                <c:pt idx="338">
                  <c:v>10.76755</c:v>
                </c:pt>
                <c:pt idx="339">
                  <c:v>10.786391</c:v>
                </c:pt>
                <c:pt idx="340">
                  <c:v>10.805139</c:v>
                </c:pt>
                <c:pt idx="341">
                  <c:v>10.823795</c:v>
                </c:pt>
                <c:pt idx="342">
                  <c:v>10.8423605</c:v>
                </c:pt>
                <c:pt idx="343">
                  <c:v>10.860835</c:v>
                </c:pt>
                <c:pt idx="344">
                  <c:v>10.879220999999999</c:v>
                </c:pt>
                <c:pt idx="345">
                  <c:v>10.897518</c:v>
                </c:pt>
                <c:pt idx="346">
                  <c:v>10.915728</c:v>
                </c:pt>
                <c:pt idx="347">
                  <c:v>10.933849</c:v>
                </c:pt>
                <c:pt idx="348">
                  <c:v>10.951885000000001</c:v>
                </c:pt>
                <c:pt idx="349">
                  <c:v>10.969836000000001</c:v>
                </c:pt>
                <c:pt idx="350">
                  <c:v>10.987700999999999</c:v>
                </c:pt>
                <c:pt idx="351">
                  <c:v>11.005483999999999</c:v>
                </c:pt>
                <c:pt idx="352">
                  <c:v>11.023182</c:v>
                </c:pt>
                <c:pt idx="353">
                  <c:v>11.04078</c:v>
                </c:pt>
                <c:pt idx="354">
                  <c:v>11.058292</c:v>
                </c:pt>
                <c:pt idx="355">
                  <c:v>11.075722000000001</c:v>
                </c:pt>
                <c:pt idx="356">
                  <c:v>11.093067</c:v>
                </c:pt>
                <c:pt idx="357">
                  <c:v>11.110329</c:v>
                </c:pt>
                <c:pt idx="358">
                  <c:v>11.127509</c:v>
                </c:pt>
                <c:pt idx="359">
                  <c:v>11.144607000000001</c:v>
                </c:pt>
                <c:pt idx="360">
                  <c:v>11.161623000000001</c:v>
                </c:pt>
                <c:pt idx="361">
                  <c:v>11.178558000000001</c:v>
                </c:pt>
                <c:pt idx="362">
                  <c:v>11.195414</c:v>
                </c:pt>
                <c:pt idx="363">
                  <c:v>11.212189</c:v>
                </c:pt>
                <c:pt idx="364">
                  <c:v>11.228885</c:v>
                </c:pt>
                <c:pt idx="365">
                  <c:v>11.245502</c:v>
                </c:pt>
                <c:pt idx="366">
                  <c:v>11.262041</c:v>
                </c:pt>
                <c:pt idx="367">
                  <c:v>11.278501500000001</c:v>
                </c:pt>
                <c:pt idx="368">
                  <c:v>11.294885000000001</c:v>
                </c:pt>
                <c:pt idx="369">
                  <c:v>11.311192</c:v>
                </c:pt>
                <c:pt idx="370">
                  <c:v>11.327420999999999</c:v>
                </c:pt>
                <c:pt idx="371">
                  <c:v>11.3435755</c:v>
                </c:pt>
                <c:pt idx="372">
                  <c:v>11.359653</c:v>
                </c:pt>
                <c:pt idx="373">
                  <c:v>11.375657</c:v>
                </c:pt>
                <c:pt idx="374">
                  <c:v>11.391584999999999</c:v>
                </c:pt>
                <c:pt idx="375">
                  <c:v>11.407444999999999</c:v>
                </c:pt>
                <c:pt idx="376">
                  <c:v>11.423233</c:v>
                </c:pt>
                <c:pt idx="377">
                  <c:v>11.43895</c:v>
                </c:pt>
                <c:pt idx="378">
                  <c:v>11.454594999999999</c:v>
                </c:pt>
                <c:pt idx="379">
                  <c:v>11.470167999999999</c:v>
                </c:pt>
                <c:pt idx="380">
                  <c:v>11.485671999999999</c:v>
                </c:pt>
                <c:pt idx="381">
                  <c:v>11.501104</c:v>
                </c:pt>
                <c:pt idx="382">
                  <c:v>11.516468</c:v>
                </c:pt>
                <c:pt idx="383">
                  <c:v>11.531762000000001</c:v>
                </c:pt>
                <c:pt idx="384">
                  <c:v>11.546988000000001</c:v>
                </c:pt>
                <c:pt idx="385">
                  <c:v>11.562144</c:v>
                </c:pt>
                <c:pt idx="386">
                  <c:v>11.577234000000001</c:v>
                </c:pt>
                <c:pt idx="387">
                  <c:v>11.592257</c:v>
                </c:pt>
                <c:pt idx="388">
                  <c:v>11.607212000000001</c:v>
                </c:pt>
                <c:pt idx="389">
                  <c:v>11.622101000000001</c:v>
                </c:pt>
                <c:pt idx="390">
                  <c:v>11.636924</c:v>
                </c:pt>
                <c:pt idx="391">
                  <c:v>11.651681999999999</c:v>
                </c:pt>
                <c:pt idx="392">
                  <c:v>11.666373999999999</c:v>
                </c:pt>
                <c:pt idx="393">
                  <c:v>11.681003</c:v>
                </c:pt>
                <c:pt idx="394">
                  <c:v>11.695567</c:v>
                </c:pt>
                <c:pt idx="395">
                  <c:v>11.710068</c:v>
                </c:pt>
                <c:pt idx="396">
                  <c:v>11.724504</c:v>
                </c:pt>
                <c:pt idx="397">
                  <c:v>11.738879000000001</c:v>
                </c:pt>
                <c:pt idx="398">
                  <c:v>11.753190999999999</c:v>
                </c:pt>
                <c:pt idx="399">
                  <c:v>11.767441</c:v>
                </c:pt>
                <c:pt idx="400">
                  <c:v>11.781629000000001</c:v>
                </c:pt>
                <c:pt idx="401">
                  <c:v>11.795755</c:v>
                </c:pt>
                <c:pt idx="402">
                  <c:v>11.809822</c:v>
                </c:pt>
                <c:pt idx="403">
                  <c:v>11.823828000000001</c:v>
                </c:pt>
                <c:pt idx="404">
                  <c:v>11.837773</c:v>
                </c:pt>
                <c:pt idx="405">
                  <c:v>11.851660000000001</c:v>
                </c:pt>
                <c:pt idx="406">
                  <c:v>11.865487</c:v>
                </c:pt>
                <c:pt idx="407">
                  <c:v>11.879255000000001</c:v>
                </c:pt>
                <c:pt idx="408">
                  <c:v>11.892965</c:v>
                </c:pt>
                <c:pt idx="409">
                  <c:v>11.906617000000001</c:v>
                </c:pt>
                <c:pt idx="410">
                  <c:v>11.920211</c:v>
                </c:pt>
                <c:pt idx="411">
                  <c:v>11.933748</c:v>
                </c:pt>
                <c:pt idx="412">
                  <c:v>11.947228000000001</c:v>
                </c:pt>
                <c:pt idx="413">
                  <c:v>11.960651</c:v>
                </c:pt>
                <c:pt idx="414">
                  <c:v>11.974019</c:v>
                </c:pt>
                <c:pt idx="415">
                  <c:v>11.98733</c:v>
                </c:pt>
                <c:pt idx="416">
                  <c:v>12.000586500000001</c:v>
                </c:pt>
                <c:pt idx="417">
                  <c:v>12.013788</c:v>
                </c:pt>
                <c:pt idx="418">
                  <c:v>12.026935</c:v>
                </c:pt>
                <c:pt idx="419">
                  <c:v>12.040025999999999</c:v>
                </c:pt>
                <c:pt idx="420">
                  <c:v>12.053063999999999</c:v>
                </c:pt>
                <c:pt idx="421">
                  <c:v>12.066048</c:v>
                </c:pt>
                <c:pt idx="422">
                  <c:v>12.078979</c:v>
                </c:pt>
                <c:pt idx="423">
                  <c:v>12.091856</c:v>
                </c:pt>
                <c:pt idx="424">
                  <c:v>12.104680999999999</c:v>
                </c:pt>
                <c:pt idx="425">
                  <c:v>12.117454</c:v>
                </c:pt>
                <c:pt idx="426">
                  <c:v>12.130174</c:v>
                </c:pt>
                <c:pt idx="427">
                  <c:v>12.142842</c:v>
                </c:pt>
                <c:pt idx="428">
                  <c:v>12.155459</c:v>
                </c:pt>
                <c:pt idx="429">
                  <c:v>12.168025</c:v>
                </c:pt>
                <c:pt idx="430">
                  <c:v>12.180540000000001</c:v>
                </c:pt>
                <c:pt idx="431">
                  <c:v>12.193004</c:v>
                </c:pt>
                <c:pt idx="432">
                  <c:v>12.205418</c:v>
                </c:pt>
                <c:pt idx="433">
                  <c:v>12.217782</c:v>
                </c:pt>
                <c:pt idx="434">
                  <c:v>12.230097000000001</c:v>
                </c:pt>
                <c:pt idx="435">
                  <c:v>12.242362999999999</c:v>
                </c:pt>
                <c:pt idx="436">
                  <c:v>12.254580499999999</c:v>
                </c:pt>
                <c:pt idx="437">
                  <c:v>12.266748</c:v>
                </c:pt>
                <c:pt idx="438">
                  <c:v>12.278869</c:v>
                </c:pt>
                <c:pt idx="439">
                  <c:v>12.290940000000001</c:v>
                </c:pt>
                <c:pt idx="440">
                  <c:v>12.302963</c:v>
                </c:pt>
                <c:pt idx="441">
                  <c:v>12.314939499999999</c:v>
                </c:pt>
                <c:pt idx="442">
                  <c:v>12.326867999999999</c:v>
                </c:pt>
                <c:pt idx="443">
                  <c:v>12.338749999999999</c:v>
                </c:pt>
                <c:pt idx="444">
                  <c:v>12.350584</c:v>
                </c:pt>
                <c:pt idx="445">
                  <c:v>12.362372000000001</c:v>
                </c:pt>
                <c:pt idx="446">
                  <c:v>12.374114000000001</c:v>
                </c:pt>
                <c:pt idx="447">
                  <c:v>12.385809</c:v>
                </c:pt>
                <c:pt idx="448">
                  <c:v>12.397459</c:v>
                </c:pt>
                <c:pt idx="449">
                  <c:v>12.409062</c:v>
                </c:pt>
                <c:pt idx="450">
                  <c:v>12.420621000000001</c:v>
                </c:pt>
                <c:pt idx="451">
                  <c:v>12.432134</c:v>
                </c:pt>
                <c:pt idx="452">
                  <c:v>12.443602</c:v>
                </c:pt>
                <c:pt idx="453">
                  <c:v>12.455026</c:v>
                </c:pt>
                <c:pt idx="454">
                  <c:v>12.466404000000001</c:v>
                </c:pt>
                <c:pt idx="455">
                  <c:v>12.477738</c:v>
                </c:pt>
                <c:pt idx="456">
                  <c:v>12.489029</c:v>
                </c:pt>
                <c:pt idx="457">
                  <c:v>12.500275999999999</c:v>
                </c:pt>
                <c:pt idx="458">
                  <c:v>12.511478</c:v>
                </c:pt>
                <c:pt idx="459">
                  <c:v>12.522637</c:v>
                </c:pt>
                <c:pt idx="460">
                  <c:v>12.533753000000001</c:v>
                </c:pt>
                <c:pt idx="461">
                  <c:v>12.544826499999999</c:v>
                </c:pt>
                <c:pt idx="462">
                  <c:v>12.555857</c:v>
                </c:pt>
                <c:pt idx="463">
                  <c:v>12.566843</c:v>
                </c:pt>
                <c:pt idx="464">
                  <c:v>12.577788</c:v>
                </c:pt>
                <c:pt idx="465">
                  <c:v>12.58869</c:v>
                </c:pt>
                <c:pt idx="466">
                  <c:v>12.599550000000001</c:v>
                </c:pt>
                <c:pt idx="467">
                  <c:v>12.610367999999999</c:v>
                </c:pt>
                <c:pt idx="468">
                  <c:v>12.621143999999999</c:v>
                </c:pt>
                <c:pt idx="469">
                  <c:v>12.631878</c:v>
                </c:pt>
                <c:pt idx="470">
                  <c:v>12.642574</c:v>
                </c:pt>
                <c:pt idx="471">
                  <c:v>12.653237000000001</c:v>
                </c:pt>
                <c:pt idx="472">
                  <c:v>12.663859</c:v>
                </c:pt>
                <c:pt idx="473">
                  <c:v>12.674442000000001</c:v>
                </c:pt>
                <c:pt idx="474">
                  <c:v>12.684984999999999</c:v>
                </c:pt>
                <c:pt idx="475">
                  <c:v>12.695489</c:v>
                </c:pt>
                <c:pt idx="476">
                  <c:v>12.705952999999999</c:v>
                </c:pt>
                <c:pt idx="477">
                  <c:v>12.716377</c:v>
                </c:pt>
                <c:pt idx="478">
                  <c:v>12.726763999999999</c:v>
                </c:pt>
                <c:pt idx="479">
                  <c:v>12.737111000000001</c:v>
                </c:pt>
                <c:pt idx="480">
                  <c:v>12.747419000000001</c:v>
                </c:pt>
                <c:pt idx="481">
                  <c:v>12.757688999999999</c:v>
                </c:pt>
                <c:pt idx="482">
                  <c:v>12.767920999999999</c:v>
                </c:pt>
                <c:pt idx="483">
                  <c:v>12.778115</c:v>
                </c:pt>
                <c:pt idx="484">
                  <c:v>12.788271999999999</c:v>
                </c:pt>
                <c:pt idx="485">
                  <c:v>12.798389999999999</c:v>
                </c:pt>
                <c:pt idx="486">
                  <c:v>12.808471000000001</c:v>
                </c:pt>
                <c:pt idx="487">
                  <c:v>12.818514</c:v>
                </c:pt>
                <c:pt idx="488">
                  <c:v>12.828519999999999</c:v>
                </c:pt>
                <c:pt idx="489">
                  <c:v>12.83849</c:v>
                </c:pt>
                <c:pt idx="490">
                  <c:v>12.848421</c:v>
                </c:pt>
                <c:pt idx="491">
                  <c:v>12.858316</c:v>
                </c:pt>
                <c:pt idx="492">
                  <c:v>12.8681755</c:v>
                </c:pt>
                <c:pt idx="493">
                  <c:v>12.877997000000001</c:v>
                </c:pt>
                <c:pt idx="494">
                  <c:v>12.887783000000001</c:v>
                </c:pt>
                <c:pt idx="495">
                  <c:v>12.897532</c:v>
                </c:pt>
                <c:pt idx="496">
                  <c:v>12.907247</c:v>
                </c:pt>
                <c:pt idx="497">
                  <c:v>12.916923499999999</c:v>
                </c:pt>
                <c:pt idx="498">
                  <c:v>12.926565999999999</c:v>
                </c:pt>
                <c:pt idx="499">
                  <c:v>12.936171999999999</c:v>
                </c:pt>
                <c:pt idx="500">
                  <c:v>12.945743</c:v>
                </c:pt>
                <c:pt idx="501">
                  <c:v>12.955277000000001</c:v>
                </c:pt>
                <c:pt idx="502">
                  <c:v>12.964778000000001</c:v>
                </c:pt>
                <c:pt idx="503">
                  <c:v>12.974242</c:v>
                </c:pt>
                <c:pt idx="504">
                  <c:v>12.983672</c:v>
                </c:pt>
                <c:pt idx="505">
                  <c:v>12.993067</c:v>
                </c:pt>
                <c:pt idx="506">
                  <c:v>13.002427000000001</c:v>
                </c:pt>
                <c:pt idx="507">
                  <c:v>13.011752</c:v>
                </c:pt>
                <c:pt idx="508">
                  <c:v>13.021044</c:v>
                </c:pt>
                <c:pt idx="509">
                  <c:v>13.118252</c:v>
                </c:pt>
                <c:pt idx="510">
                  <c:v>15.086347999999999</c:v>
                </c:pt>
                <c:pt idx="511">
                  <c:v>15.903119999999999</c:v>
                </c:pt>
                <c:pt idx="512">
                  <c:v>16.333176000000002</c:v>
                </c:pt>
                <c:pt idx="513">
                  <c:v>16.594505000000002</c:v>
                </c:pt>
                <c:pt idx="514">
                  <c:v>16.76511</c:v>
                </c:pt>
                <c:pt idx="515">
                  <c:v>16.885120000000001</c:v>
                </c:pt>
                <c:pt idx="516">
                  <c:v>16.975007999999999</c:v>
                </c:pt>
                <c:pt idx="517">
                  <c:v>17.046492000000001</c:v>
                </c:pt>
                <c:pt idx="518">
                  <c:v>17.103999999999999</c:v>
                </c:pt>
                <c:pt idx="519">
                  <c:v>17.151071999999999</c:v>
                </c:pt>
                <c:pt idx="520">
                  <c:v>17.189934000000001</c:v>
                </c:pt>
                <c:pt idx="521">
                  <c:v>17.222671999999999</c:v>
                </c:pt>
                <c:pt idx="522">
                  <c:v>17.250661999999998</c:v>
                </c:pt>
                <c:pt idx="523">
                  <c:v>17.275449999999999</c:v>
                </c:pt>
                <c:pt idx="524">
                  <c:v>17.297148</c:v>
                </c:pt>
                <c:pt idx="525">
                  <c:v>17.316742000000001</c:v>
                </c:pt>
                <c:pt idx="526">
                  <c:v>17.334233999999999</c:v>
                </c:pt>
                <c:pt idx="527">
                  <c:v>17.350121999999999</c:v>
                </c:pt>
                <c:pt idx="528">
                  <c:v>17.3645</c:v>
                </c:pt>
                <c:pt idx="529">
                  <c:v>17.377624999999998</c:v>
                </c:pt>
                <c:pt idx="530">
                  <c:v>17.389631000000001</c:v>
                </c:pt>
                <c:pt idx="531">
                  <c:v>17.40063</c:v>
                </c:pt>
                <c:pt idx="532">
                  <c:v>17.410727000000001</c:v>
                </c:pt>
                <c:pt idx="533">
                  <c:v>17.420055000000001</c:v>
                </c:pt>
                <c:pt idx="534">
                  <c:v>17.428736000000001</c:v>
                </c:pt>
                <c:pt idx="535">
                  <c:v>17.436772999999999</c:v>
                </c:pt>
                <c:pt idx="536">
                  <c:v>17.444313000000001</c:v>
                </c:pt>
                <c:pt idx="537">
                  <c:v>17.451453999999998</c:v>
                </c:pt>
                <c:pt idx="538">
                  <c:v>17.458233</c:v>
                </c:pt>
                <c:pt idx="539">
                  <c:v>17.46453</c:v>
                </c:pt>
                <c:pt idx="540">
                  <c:v>17.470510000000001</c:v>
                </c:pt>
                <c:pt idx="541">
                  <c:v>17.476227000000002</c:v>
                </c:pt>
                <c:pt idx="542">
                  <c:v>17.481653000000001</c:v>
                </c:pt>
                <c:pt idx="543">
                  <c:v>17.486764999999998</c:v>
                </c:pt>
                <c:pt idx="544">
                  <c:v>17.49164</c:v>
                </c:pt>
                <c:pt idx="545">
                  <c:v>17.496305</c:v>
                </c:pt>
                <c:pt idx="546">
                  <c:v>17.500730000000001</c:v>
                </c:pt>
                <c:pt idx="547">
                  <c:v>17.504940000000001</c:v>
                </c:pt>
                <c:pt idx="548">
                  <c:v>17.508963000000001</c:v>
                </c:pt>
                <c:pt idx="549">
                  <c:v>17.512813999999999</c:v>
                </c:pt>
                <c:pt idx="550">
                  <c:v>17.516487000000001</c:v>
                </c:pt>
                <c:pt idx="551">
                  <c:v>17.52</c:v>
                </c:pt>
                <c:pt idx="552">
                  <c:v>17.523363</c:v>
                </c:pt>
                <c:pt idx="553">
                  <c:v>17.526585000000001</c:v>
                </c:pt>
                <c:pt idx="554">
                  <c:v>17.529675999999998</c:v>
                </c:pt>
                <c:pt idx="555">
                  <c:v>17.532646</c:v>
                </c:pt>
                <c:pt idx="556">
                  <c:v>17.535495999999998</c:v>
                </c:pt>
                <c:pt idx="557">
                  <c:v>17.538235</c:v>
                </c:pt>
                <c:pt idx="558">
                  <c:v>17.540866999999999</c:v>
                </c:pt>
                <c:pt idx="559">
                  <c:v>17.543396000000001</c:v>
                </c:pt>
                <c:pt idx="560">
                  <c:v>17.545826000000002</c:v>
                </c:pt>
                <c:pt idx="561">
                  <c:v>17.548169999999999</c:v>
                </c:pt>
                <c:pt idx="562">
                  <c:v>17.550428</c:v>
                </c:pt>
                <c:pt idx="563">
                  <c:v>17.552605</c:v>
                </c:pt>
                <c:pt idx="564">
                  <c:v>17.554698999999999</c:v>
                </c:pt>
                <c:pt idx="565">
                  <c:v>17.556712999999998</c:v>
                </c:pt>
                <c:pt idx="566">
                  <c:v>17.55865</c:v>
                </c:pt>
                <c:pt idx="567">
                  <c:v>17.560507000000001</c:v>
                </c:pt>
                <c:pt idx="568">
                  <c:v>17.562296</c:v>
                </c:pt>
                <c:pt idx="569">
                  <c:v>17.564033999999999</c:v>
                </c:pt>
                <c:pt idx="570">
                  <c:v>17.565709999999999</c:v>
                </c:pt>
                <c:pt idx="571">
                  <c:v>17.567326000000001</c:v>
                </c:pt>
                <c:pt idx="572">
                  <c:v>17.568884000000001</c:v>
                </c:pt>
                <c:pt idx="573">
                  <c:v>17.570381000000001</c:v>
                </c:pt>
                <c:pt idx="574">
                  <c:v>17.571822999999998</c:v>
                </c:pt>
                <c:pt idx="575">
                  <c:v>17.573208000000001</c:v>
                </c:pt>
                <c:pt idx="576">
                  <c:v>17.574553999999999</c:v>
                </c:pt>
                <c:pt idx="577">
                  <c:v>17.575855000000001</c:v>
                </c:pt>
                <c:pt idx="578">
                  <c:v>17.577112</c:v>
                </c:pt>
                <c:pt idx="579">
                  <c:v>17.578325</c:v>
                </c:pt>
                <c:pt idx="580">
                  <c:v>17.579495999999999</c:v>
                </c:pt>
                <c:pt idx="581">
                  <c:v>17.580627</c:v>
                </c:pt>
                <c:pt idx="582">
                  <c:v>17.581717000000001</c:v>
                </c:pt>
                <c:pt idx="583">
                  <c:v>17.582771000000001</c:v>
                </c:pt>
                <c:pt idx="584">
                  <c:v>17.583794000000001</c:v>
                </c:pt>
                <c:pt idx="585">
                  <c:v>17.584783999999999</c:v>
                </c:pt>
                <c:pt idx="586">
                  <c:v>17.585740999999999</c:v>
                </c:pt>
                <c:pt idx="587">
                  <c:v>17.586666000000001</c:v>
                </c:pt>
                <c:pt idx="588">
                  <c:v>17.587562999999999</c:v>
                </c:pt>
                <c:pt idx="589">
                  <c:v>17.588429999999999</c:v>
                </c:pt>
                <c:pt idx="590">
                  <c:v>17.589269999999999</c:v>
                </c:pt>
                <c:pt idx="591">
                  <c:v>17.590084000000001</c:v>
                </c:pt>
                <c:pt idx="592">
                  <c:v>17.590873999999999</c:v>
                </c:pt>
                <c:pt idx="593">
                  <c:v>17.591640000000002</c:v>
                </c:pt>
                <c:pt idx="594">
                  <c:v>17.592382000000001</c:v>
                </c:pt>
                <c:pt idx="595">
                  <c:v>17.593102999999999</c:v>
                </c:pt>
                <c:pt idx="596">
                  <c:v>17.593800999999999</c:v>
                </c:pt>
                <c:pt idx="597">
                  <c:v>17.594480000000001</c:v>
                </c:pt>
                <c:pt idx="598">
                  <c:v>17.595137000000001</c:v>
                </c:pt>
                <c:pt idx="599">
                  <c:v>17.595776000000001</c:v>
                </c:pt>
                <c:pt idx="600">
                  <c:v>17.596394</c:v>
                </c:pt>
                <c:pt idx="601">
                  <c:v>17.596992</c:v>
                </c:pt>
                <c:pt idx="602">
                  <c:v>17.597574000000002</c:v>
                </c:pt>
                <c:pt idx="603">
                  <c:v>17.598137000000001</c:v>
                </c:pt>
                <c:pt idx="604">
                  <c:v>17.598680000000002</c:v>
                </c:pt>
                <c:pt idx="605">
                  <c:v>17.599208999999998</c:v>
                </c:pt>
                <c:pt idx="606">
                  <c:v>17.599723999999998</c:v>
                </c:pt>
                <c:pt idx="607">
                  <c:v>17.600227</c:v>
                </c:pt>
                <c:pt idx="608">
                  <c:v>17.600715999999998</c:v>
                </c:pt>
                <c:pt idx="609">
                  <c:v>17.601189000000002</c:v>
                </c:pt>
                <c:pt idx="610">
                  <c:v>17.601645999999999</c:v>
                </c:pt>
                <c:pt idx="611">
                  <c:v>17.60209</c:v>
                </c:pt>
                <c:pt idx="612">
                  <c:v>17.602522</c:v>
                </c:pt>
                <c:pt idx="613">
                  <c:v>17.60294</c:v>
                </c:pt>
                <c:pt idx="614">
                  <c:v>17.603342000000001</c:v>
                </c:pt>
                <c:pt idx="615">
                  <c:v>17.603729999999999</c:v>
                </c:pt>
                <c:pt idx="616">
                  <c:v>17.604105000000001</c:v>
                </c:pt>
                <c:pt idx="617">
                  <c:v>17.604465000000001</c:v>
                </c:pt>
                <c:pt idx="618">
                  <c:v>17.604810000000001</c:v>
                </c:pt>
                <c:pt idx="619">
                  <c:v>17.605143000000002</c:v>
                </c:pt>
                <c:pt idx="620">
                  <c:v>17.605460999999998</c:v>
                </c:pt>
                <c:pt idx="621">
                  <c:v>17.605779999999999</c:v>
                </c:pt>
                <c:pt idx="622">
                  <c:v>17.606092</c:v>
                </c:pt>
                <c:pt idx="623">
                  <c:v>17.606394000000002</c:v>
                </c:pt>
                <c:pt idx="624">
                  <c:v>17.606686</c:v>
                </c:pt>
                <c:pt idx="625">
                  <c:v>17.60697</c:v>
                </c:pt>
                <c:pt idx="626">
                  <c:v>17.607243</c:v>
                </c:pt>
                <c:pt idx="627">
                  <c:v>17.607506000000001</c:v>
                </c:pt>
                <c:pt idx="628">
                  <c:v>17.607761</c:v>
                </c:pt>
                <c:pt idx="629">
                  <c:v>17.608006</c:v>
                </c:pt>
                <c:pt idx="630">
                  <c:v>17.608242000000001</c:v>
                </c:pt>
                <c:pt idx="631">
                  <c:v>17.608468999999999</c:v>
                </c:pt>
                <c:pt idx="632">
                  <c:v>17.608685999999999</c:v>
                </c:pt>
                <c:pt idx="633">
                  <c:v>17.608896000000001</c:v>
                </c:pt>
                <c:pt idx="634">
                  <c:v>17.609096999999998</c:v>
                </c:pt>
                <c:pt idx="635">
                  <c:v>17.609286999999998</c:v>
                </c:pt>
                <c:pt idx="636">
                  <c:v>17.609477999999999</c:v>
                </c:pt>
                <c:pt idx="637">
                  <c:v>17.609665</c:v>
                </c:pt>
                <c:pt idx="638">
                  <c:v>17.609846000000001</c:v>
                </c:pt>
                <c:pt idx="639">
                  <c:v>17.610019999999999</c:v>
                </c:pt>
                <c:pt idx="640">
                  <c:v>17.610188000000001</c:v>
                </c:pt>
                <c:pt idx="641">
                  <c:v>17.610351999999999</c:v>
                </c:pt>
                <c:pt idx="642">
                  <c:v>17.610507999999999</c:v>
                </c:pt>
                <c:pt idx="643">
                  <c:v>17.610659999999999</c:v>
                </c:pt>
                <c:pt idx="644">
                  <c:v>17.610806</c:v>
                </c:pt>
                <c:pt idx="645">
                  <c:v>17.610949000000002</c:v>
                </c:pt>
                <c:pt idx="646">
                  <c:v>17.611084000000002</c:v>
                </c:pt>
                <c:pt idx="647">
                  <c:v>17.611215999999999</c:v>
                </c:pt>
                <c:pt idx="648">
                  <c:v>17.611343000000002</c:v>
                </c:pt>
                <c:pt idx="649">
                  <c:v>17.611464999999999</c:v>
                </c:pt>
                <c:pt idx="650">
                  <c:v>17.611584000000001</c:v>
                </c:pt>
                <c:pt idx="651">
                  <c:v>17.611699999999999</c:v>
                </c:pt>
                <c:pt idx="652">
                  <c:v>17.611809999999998</c:v>
                </c:pt>
                <c:pt idx="653">
                  <c:v>17.611920000000001</c:v>
                </c:pt>
                <c:pt idx="654">
                  <c:v>17.612024000000002</c:v>
                </c:pt>
                <c:pt idx="655">
                  <c:v>17.612124999999999</c:v>
                </c:pt>
                <c:pt idx="656">
                  <c:v>17.612223</c:v>
                </c:pt>
                <c:pt idx="657">
                  <c:v>17.612317999999998</c:v>
                </c:pt>
                <c:pt idx="658">
                  <c:v>17.612410000000001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E2-49FC-B019-69DEA4C5D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052800"/>
        <c:axId val="406053760"/>
      </c:scatterChart>
      <c:valAx>
        <c:axId val="40605280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6053760"/>
        <c:crosses val="autoZero"/>
        <c:crossBetween val="midCat"/>
      </c:valAx>
      <c:valAx>
        <c:axId val="40605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0605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672979339121077E-2"/>
          <c:y val="2.6734842107000775E-2"/>
          <c:w val="0.8714244565583148"/>
          <c:h val="0.84743343402829363"/>
        </c:manualLayout>
      </c:layout>
      <c:scatterChart>
        <c:scatterStyle val="smoothMarker"/>
        <c:varyColors val="0"/>
        <c:ser>
          <c:idx val="2"/>
          <c:order val="1"/>
          <c:tx>
            <c:v>FE MIFT 2-A S1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MIFT!$P$2:$P$661</c:f>
              <c:numCache>
                <c:formatCode>0.00E+00</c:formatCode>
                <c:ptCount val="660"/>
                <c:pt idx="0" formatCode="General">
                  <c:v>0</c:v>
                </c:pt>
                <c:pt idx="1">
                  <c:v>2.8583581999999999E-8</c:v>
                </c:pt>
                <c:pt idx="2">
                  <c:v>5.7167163000000001E-8</c:v>
                </c:pt>
                <c:pt idx="3">
                  <c:v>8.5750739999999995E-8</c:v>
                </c:pt>
                <c:pt idx="4">
                  <c:v>1.1433433E-7</c:v>
                </c:pt>
                <c:pt idx="5">
                  <c:v>1.4291791E-7</c:v>
                </c:pt>
                <c:pt idx="6">
                  <c:v>1.7150147999999999E-7</c:v>
                </c:pt>
                <c:pt idx="7">
                  <c:v>2.0008507E-7</c:v>
                </c:pt>
                <c:pt idx="8">
                  <c:v>2.2866865E-7</c:v>
                </c:pt>
                <c:pt idx="9">
                  <c:v>2.5725222000000001E-7</c:v>
                </c:pt>
                <c:pt idx="10">
                  <c:v>2.8583582E-7</c:v>
                </c:pt>
                <c:pt idx="11">
                  <c:v>3.1441940000000003E-7</c:v>
                </c:pt>
                <c:pt idx="12">
                  <c:v>3.4300297000000001E-7</c:v>
                </c:pt>
                <c:pt idx="13">
                  <c:v>3.7158657000000001E-7</c:v>
                </c:pt>
                <c:pt idx="14">
                  <c:v>4.0017013999999999E-7</c:v>
                </c:pt>
                <c:pt idx="15">
                  <c:v>4.287537E-7</c:v>
                </c:pt>
                <c:pt idx="16">
                  <c:v>4.5733729999999999E-7</c:v>
                </c:pt>
                <c:pt idx="17">
                  <c:v>4.8592089999999998E-7</c:v>
                </c:pt>
                <c:pt idx="18">
                  <c:v>5.1450444999999995E-7</c:v>
                </c:pt>
                <c:pt idx="19">
                  <c:v>5.4308805E-7</c:v>
                </c:pt>
                <c:pt idx="20">
                  <c:v>5.7167165000000004E-7</c:v>
                </c:pt>
                <c:pt idx="21">
                  <c:v>6.0025520000000001E-7</c:v>
                </c:pt>
                <c:pt idx="22">
                  <c:v>6.2883880000000005E-7</c:v>
                </c:pt>
                <c:pt idx="23">
                  <c:v>6.5742239999999999E-7</c:v>
                </c:pt>
                <c:pt idx="24">
                  <c:v>6.8600592999999999E-7</c:v>
                </c:pt>
                <c:pt idx="25">
                  <c:v>7.1458953000000004E-7</c:v>
                </c:pt>
                <c:pt idx="26">
                  <c:v>7.4317312999999998E-7</c:v>
                </c:pt>
                <c:pt idx="27">
                  <c:v>7.7175670000000002E-7</c:v>
                </c:pt>
                <c:pt idx="28">
                  <c:v>8.0034029999999996E-7</c:v>
                </c:pt>
                <c:pt idx="29">
                  <c:v>8.289239E-7</c:v>
                </c:pt>
                <c:pt idx="30">
                  <c:v>8.575074E-7</c:v>
                </c:pt>
                <c:pt idx="31">
                  <c:v>8.8609100000000004E-7</c:v>
                </c:pt>
                <c:pt idx="32">
                  <c:v>9.1467459999999998E-7</c:v>
                </c:pt>
                <c:pt idx="33">
                  <c:v>9.4325820000000003E-7</c:v>
                </c:pt>
                <c:pt idx="34">
                  <c:v>9.7184179999999996E-7</c:v>
                </c:pt>
                <c:pt idx="35">
                  <c:v>1.0004253000000001E-6</c:v>
                </c:pt>
                <c:pt idx="36">
                  <c:v>1.0290088999999999E-6</c:v>
                </c:pt>
                <c:pt idx="37">
                  <c:v>1.0575924999999999E-6</c:v>
                </c:pt>
                <c:pt idx="38">
                  <c:v>1.0861761E-6</c:v>
                </c:pt>
                <c:pt idx="39">
                  <c:v>1.1147597E-6</c:v>
                </c:pt>
                <c:pt idx="40">
                  <c:v>1.1433433000000001E-6</c:v>
                </c:pt>
                <c:pt idx="41">
                  <c:v>1.1719268E-6</c:v>
                </c:pt>
                <c:pt idx="42">
                  <c:v>1.2005104E-6</c:v>
                </c:pt>
                <c:pt idx="43">
                  <c:v>1.2290940000000001E-6</c:v>
                </c:pt>
                <c:pt idx="44">
                  <c:v>1.2576776000000001E-6</c:v>
                </c:pt>
                <c:pt idx="45">
                  <c:v>1.2862611999999999E-6</c:v>
                </c:pt>
                <c:pt idx="46">
                  <c:v>1.3148448E-6</c:v>
                </c:pt>
                <c:pt idx="47">
                  <c:v>1.3434284E-6</c:v>
                </c:pt>
                <c:pt idx="48">
                  <c:v>1.3720118999999999E-6</c:v>
                </c:pt>
                <c:pt idx="49">
                  <c:v>1.4005955E-6</c:v>
                </c:pt>
                <c:pt idx="50">
                  <c:v>1.4291791E-6</c:v>
                </c:pt>
                <c:pt idx="51">
                  <c:v>1.4577627000000001E-6</c:v>
                </c:pt>
                <c:pt idx="52">
                  <c:v>1.4863463000000001E-6</c:v>
                </c:pt>
                <c:pt idx="53">
                  <c:v>1.5149298999999999E-6</c:v>
                </c:pt>
                <c:pt idx="54">
                  <c:v>1.5435133000000001E-6</c:v>
                </c:pt>
                <c:pt idx="55">
                  <c:v>1.5720970000000001E-6</c:v>
                </c:pt>
                <c:pt idx="56">
                  <c:v>1.6006805E-6</c:v>
                </c:pt>
                <c:pt idx="57">
                  <c:v>1.6292641E-6</c:v>
                </c:pt>
                <c:pt idx="58">
                  <c:v>1.6578477000000001E-6</c:v>
                </c:pt>
                <c:pt idx="59">
                  <c:v>1.6864313000000001E-6</c:v>
                </c:pt>
                <c:pt idx="60">
                  <c:v>1.7150148E-6</c:v>
                </c:pt>
                <c:pt idx="61">
                  <c:v>1.7150148E-6</c:v>
                </c:pt>
                <c:pt idx="62">
                  <c:v>3.4300296999999999E-6</c:v>
                </c:pt>
                <c:pt idx="63">
                  <c:v>5.1450446999999998E-6</c:v>
                </c:pt>
                <c:pt idx="64">
                  <c:v>6.8600592999999999E-6</c:v>
                </c:pt>
                <c:pt idx="65">
                  <c:v>8.5750740000000008E-6</c:v>
                </c:pt>
                <c:pt idx="66">
                  <c:v>1.0290089E-5</c:v>
                </c:pt>
                <c:pt idx="67">
                  <c:v>1.20051045E-5</c:v>
                </c:pt>
                <c:pt idx="68">
                  <c:v>1.3720119E-5</c:v>
                </c:pt>
                <c:pt idx="69">
                  <c:v>1.5435135E-5</c:v>
                </c:pt>
                <c:pt idx="70">
                  <c:v>1.7150149000000001E-5</c:v>
                </c:pt>
                <c:pt idx="71">
                  <c:v>1.8865162999999999E-5</c:v>
                </c:pt>
                <c:pt idx="72">
                  <c:v>2.0580178999999999E-5</c:v>
                </c:pt>
                <c:pt idx="73">
                  <c:v>2.2295193E-5</c:v>
                </c:pt>
                <c:pt idx="74">
                  <c:v>2.4010209000000001E-5</c:v>
                </c:pt>
                <c:pt idx="75">
                  <c:v>2.5725222999999999E-5</c:v>
                </c:pt>
                <c:pt idx="76">
                  <c:v>2.7440237E-5</c:v>
                </c:pt>
                <c:pt idx="77">
                  <c:v>2.9155253E-5</c:v>
                </c:pt>
                <c:pt idx="78">
                  <c:v>3.0870269999999999E-5</c:v>
                </c:pt>
                <c:pt idx="79">
                  <c:v>3.258528E-5</c:v>
                </c:pt>
                <c:pt idx="80">
                  <c:v>3.4300298000000002E-5</c:v>
                </c:pt>
                <c:pt idx="81">
                  <c:v>3.6015313999999999E-5</c:v>
                </c:pt>
                <c:pt idx="82">
                  <c:v>3.7730325999999998E-5</c:v>
                </c:pt>
                <c:pt idx="83">
                  <c:v>3.9445342000000002E-5</c:v>
                </c:pt>
                <c:pt idx="84">
                  <c:v>4.1160357999999998E-5</c:v>
                </c:pt>
                <c:pt idx="85">
                  <c:v>4.2875374000000002E-5</c:v>
                </c:pt>
                <c:pt idx="86">
                  <c:v>4.4590386000000001E-5</c:v>
                </c:pt>
                <c:pt idx="87">
                  <c:v>4.6305401999999998E-5</c:v>
                </c:pt>
                <c:pt idx="88">
                  <c:v>4.8020418000000001E-5</c:v>
                </c:pt>
                <c:pt idx="89">
                  <c:v>4.973543E-5</c:v>
                </c:pt>
                <c:pt idx="90">
                  <c:v>5.1450445999999997E-5</c:v>
                </c:pt>
                <c:pt idx="91">
                  <c:v>5.3165462000000001E-5</c:v>
                </c:pt>
                <c:pt idx="92">
                  <c:v>5.4880475000000002E-5</c:v>
                </c:pt>
                <c:pt idx="93">
                  <c:v>5.6595490000000003E-5</c:v>
                </c:pt>
                <c:pt idx="94">
                  <c:v>5.8310507000000003E-5</c:v>
                </c:pt>
                <c:pt idx="95">
                  <c:v>6.0025522999999999E-5</c:v>
                </c:pt>
                <c:pt idx="96">
                  <c:v>6.1740539999999999E-5</c:v>
                </c:pt>
                <c:pt idx="97">
                  <c:v>6.3455550000000006E-5</c:v>
                </c:pt>
                <c:pt idx="98">
                  <c:v>6.517056E-5</c:v>
                </c:pt>
                <c:pt idx="99">
                  <c:v>6.6885579999999994E-5</c:v>
                </c:pt>
                <c:pt idx="100">
                  <c:v>6.8600594999999995E-5</c:v>
                </c:pt>
                <c:pt idx="101">
                  <c:v>7.0315609999999995E-5</c:v>
                </c:pt>
                <c:pt idx="102">
                  <c:v>7.2030630000000003E-5</c:v>
                </c:pt>
                <c:pt idx="103">
                  <c:v>7.3745639999999997E-5</c:v>
                </c:pt>
                <c:pt idx="104">
                  <c:v>7.5460650000000004E-5</c:v>
                </c:pt>
                <c:pt idx="105">
                  <c:v>7.7175669999999998E-5</c:v>
                </c:pt>
                <c:pt idx="106">
                  <c:v>7.8890684000000003E-5</c:v>
                </c:pt>
                <c:pt idx="107">
                  <c:v>8.06057E-5</c:v>
                </c:pt>
                <c:pt idx="108">
                  <c:v>8.2320715999999996E-5</c:v>
                </c:pt>
                <c:pt idx="109">
                  <c:v>8.4035730000000001E-5</c:v>
                </c:pt>
                <c:pt idx="110">
                  <c:v>8.5750749999999995E-5</c:v>
                </c:pt>
                <c:pt idx="111">
                  <c:v>8.7465756000000005E-5</c:v>
                </c:pt>
                <c:pt idx="112">
                  <c:v>8.9180769999999996E-5</c:v>
                </c:pt>
                <c:pt idx="113">
                  <c:v>9.0895790000000004E-5</c:v>
                </c:pt>
                <c:pt idx="114">
                  <c:v>9.2610803999999995E-5</c:v>
                </c:pt>
                <c:pt idx="115">
                  <c:v>9.4325820000000006E-5</c:v>
                </c:pt>
                <c:pt idx="116">
                  <c:v>9.6040836000000002E-5</c:v>
                </c:pt>
                <c:pt idx="117">
                  <c:v>9.7755849999999993E-5</c:v>
                </c:pt>
                <c:pt idx="118">
                  <c:v>9.9470860000000001E-5</c:v>
                </c:pt>
                <c:pt idx="119">
                  <c:v>1.0118587999999999E-4</c:v>
                </c:pt>
                <c:pt idx="120">
                  <c:v>1.0290089E-4</c:v>
                </c:pt>
                <c:pt idx="121">
                  <c:v>1.0290089E-4</c:v>
                </c:pt>
                <c:pt idx="122">
                  <c:v>2.0580178999999999E-4</c:v>
                </c:pt>
                <c:pt idx="123">
                  <c:v>3.0870266999999998E-4</c:v>
                </c:pt>
                <c:pt idx="124">
                  <c:v>4.1160357000000002E-4</c:v>
                </c:pt>
                <c:pt idx="125">
                  <c:v>5.1450444000000002E-4</c:v>
                </c:pt>
                <c:pt idx="126">
                  <c:v>6.1740533999999996E-4</c:v>
                </c:pt>
                <c:pt idx="127">
                  <c:v>7.2030624E-4</c:v>
                </c:pt>
                <c:pt idx="128">
                  <c:v>8.2320714000000004E-4</c:v>
                </c:pt>
                <c:pt idx="129">
                  <c:v>9.2610803999999998E-4</c:v>
                </c:pt>
                <c:pt idx="130" formatCode="General">
                  <c:v>1.0290089E-3</c:v>
                </c:pt>
                <c:pt idx="131" formatCode="General">
                  <c:v>1.1319098E-3</c:v>
                </c:pt>
                <c:pt idx="132" formatCode="General">
                  <c:v>1.2348107000000001E-3</c:v>
                </c:pt>
                <c:pt idx="133" formatCode="General">
                  <c:v>1.3377116000000001E-3</c:v>
                </c:pt>
                <c:pt idx="134" formatCode="General">
                  <c:v>1.4406124999999999E-3</c:v>
                </c:pt>
                <c:pt idx="135" formatCode="General">
                  <c:v>1.5435134E-3</c:v>
                </c:pt>
                <c:pt idx="136" formatCode="General">
                  <c:v>1.6464143E-3</c:v>
                </c:pt>
                <c:pt idx="137" formatCode="General">
                  <c:v>1.7493152000000001E-3</c:v>
                </c:pt>
                <c:pt idx="138" formatCode="General">
                  <c:v>1.8522161000000001E-3</c:v>
                </c:pt>
                <c:pt idx="139" formatCode="General">
                  <c:v>1.9551169000000001E-3</c:v>
                </c:pt>
                <c:pt idx="140" formatCode="General">
                  <c:v>2.0580177999999999E-3</c:v>
                </c:pt>
                <c:pt idx="141" formatCode="General">
                  <c:v>2.1609187000000002E-3</c:v>
                </c:pt>
                <c:pt idx="142" formatCode="General">
                  <c:v>2.2638196E-3</c:v>
                </c:pt>
                <c:pt idx="143" formatCode="General">
                  <c:v>2.3667204999999998E-3</c:v>
                </c:pt>
                <c:pt idx="144" formatCode="General">
                  <c:v>2.4696214000000001E-3</c:v>
                </c:pt>
                <c:pt idx="145" formatCode="General">
                  <c:v>2.4696214000000001E-3</c:v>
                </c:pt>
                <c:pt idx="146" formatCode="General">
                  <c:v>4.9392426999999997E-3</c:v>
                </c:pt>
                <c:pt idx="147" formatCode="General">
                  <c:v>7.4088642999999999E-3</c:v>
                </c:pt>
                <c:pt idx="148" formatCode="General">
                  <c:v>9.8784849999999993E-3</c:v>
                </c:pt>
                <c:pt idx="149" formatCode="General">
                  <c:v>1.2348107000000001E-2</c:v>
                </c:pt>
                <c:pt idx="150" formatCode="General">
                  <c:v>1.4817729E-2</c:v>
                </c:pt>
                <c:pt idx="151" formatCode="General">
                  <c:v>1.728735E-2</c:v>
                </c:pt>
                <c:pt idx="152" formatCode="General">
                  <c:v>1.9756969999999999E-2</c:v>
                </c:pt>
                <c:pt idx="153" formatCode="General">
                  <c:v>2.2226592999999999E-2</c:v>
                </c:pt>
                <c:pt idx="154" formatCode="General">
                  <c:v>2.4696214000000001E-2</c:v>
                </c:pt>
                <c:pt idx="155" formatCode="General">
                  <c:v>2.7165835999999999E-2</c:v>
                </c:pt>
                <c:pt idx="156" formatCode="General">
                  <c:v>2.9635457E-2</c:v>
                </c:pt>
                <c:pt idx="157" formatCode="General">
                  <c:v>3.2105077000000003E-2</c:v>
                </c:pt>
                <c:pt idx="158" formatCode="General">
                  <c:v>3.45747E-2</c:v>
                </c:pt>
                <c:pt idx="159" formatCode="General">
                  <c:v>3.7044319999999999E-2</c:v>
                </c:pt>
                <c:pt idx="160" formatCode="General">
                  <c:v>3.9513939999999997E-2</c:v>
                </c:pt>
                <c:pt idx="161" formatCode="General">
                  <c:v>4.1983563000000002E-2</c:v>
                </c:pt>
                <c:pt idx="162" formatCode="General">
                  <c:v>4.4453184999999999E-2</c:v>
                </c:pt>
                <c:pt idx="163" formatCode="General">
                  <c:v>4.6922806999999997E-2</c:v>
                </c:pt>
                <c:pt idx="164" formatCode="General">
                  <c:v>4.9392430000000001E-2</c:v>
                </c:pt>
                <c:pt idx="165" formatCode="General">
                  <c:v>5.186205E-2</c:v>
                </c:pt>
                <c:pt idx="166" formatCode="General">
                  <c:v>5.4331669999999999E-2</c:v>
                </c:pt>
                <c:pt idx="167" formatCode="General">
                  <c:v>5.6801293000000003E-2</c:v>
                </c:pt>
                <c:pt idx="168" formatCode="General">
                  <c:v>5.9270915E-2</c:v>
                </c:pt>
                <c:pt idx="169" formatCode="General">
                  <c:v>6.1740535999999999E-2</c:v>
                </c:pt>
                <c:pt idx="170" formatCode="General">
                  <c:v>6.4210154000000005E-2</c:v>
                </c:pt>
                <c:pt idx="171" formatCode="General">
                  <c:v>6.6679775999999996E-2</c:v>
                </c:pt>
                <c:pt idx="172" formatCode="General">
                  <c:v>6.91494E-2</c:v>
                </c:pt>
                <c:pt idx="173" formatCode="General">
                  <c:v>7.1619020000000005E-2</c:v>
                </c:pt>
                <c:pt idx="174" formatCode="General">
                  <c:v>7.4088639999999997E-2</c:v>
                </c:pt>
                <c:pt idx="175" formatCode="General">
                  <c:v>7.6558260000000003E-2</c:v>
                </c:pt>
                <c:pt idx="176" formatCode="General">
                  <c:v>7.9027879999999995E-2</c:v>
                </c:pt>
                <c:pt idx="177" formatCode="General">
                  <c:v>8.1497504999999998E-2</c:v>
                </c:pt>
                <c:pt idx="178" formatCode="General">
                  <c:v>8.3967130000000001E-2</c:v>
                </c:pt>
                <c:pt idx="179" formatCode="General">
                  <c:v>8.6436750000000007E-2</c:v>
                </c:pt>
                <c:pt idx="180" formatCode="General">
                  <c:v>8.8906369999999998E-2</c:v>
                </c:pt>
                <c:pt idx="181" formatCode="General">
                  <c:v>9.1375990000000004E-2</c:v>
                </c:pt>
                <c:pt idx="182" formatCode="General">
                  <c:v>9.3845609999999996E-2</c:v>
                </c:pt>
                <c:pt idx="183" formatCode="General">
                  <c:v>9.6315234999999999E-2</c:v>
                </c:pt>
                <c:pt idx="184" formatCode="General">
                  <c:v>9.8784860000000002E-2</c:v>
                </c:pt>
                <c:pt idx="185" formatCode="General">
                  <c:v>0.10125447999999999</c:v>
                </c:pt>
                <c:pt idx="186" formatCode="General">
                  <c:v>0.1037241</c:v>
                </c:pt>
                <c:pt idx="187" formatCode="General">
                  <c:v>0.10619372000000001</c:v>
                </c:pt>
                <c:pt idx="188" formatCode="General">
                  <c:v>0.10866334</c:v>
                </c:pt>
                <c:pt idx="189" formatCode="General">
                  <c:v>0.111132964</c:v>
                </c:pt>
                <c:pt idx="190" formatCode="General">
                  <c:v>0.11360258600000001</c:v>
                </c:pt>
                <c:pt idx="191" formatCode="General">
                  <c:v>0.11607221</c:v>
                </c:pt>
                <c:pt idx="192" formatCode="General">
                  <c:v>0.11854183</c:v>
                </c:pt>
                <c:pt idx="193" formatCode="General">
                  <c:v>0.12101145000000001</c:v>
                </c:pt>
                <c:pt idx="194" formatCode="General">
                  <c:v>0.12348107</c:v>
                </c:pt>
                <c:pt idx="195" formatCode="General">
                  <c:v>0.1259507</c:v>
                </c:pt>
                <c:pt idx="196" formatCode="General">
                  <c:v>0.12842031000000001</c:v>
                </c:pt>
                <c:pt idx="197" formatCode="General">
                  <c:v>0.13088994000000001</c:v>
                </c:pt>
                <c:pt idx="198" formatCode="General">
                  <c:v>0.13335954999999999</c:v>
                </c:pt>
                <c:pt idx="199" formatCode="General">
                  <c:v>0.13582917999999999</c:v>
                </c:pt>
                <c:pt idx="200" formatCode="General">
                  <c:v>0.1382988</c:v>
                </c:pt>
                <c:pt idx="201" formatCode="General">
                  <c:v>0.14076842000000001</c:v>
                </c:pt>
                <c:pt idx="202" formatCode="General">
                  <c:v>0.14323804000000001</c:v>
                </c:pt>
                <c:pt idx="203" formatCode="General">
                  <c:v>0.14570767000000001</c:v>
                </c:pt>
                <c:pt idx="204" formatCode="General">
                  <c:v>0.14817727999999999</c:v>
                </c:pt>
                <c:pt idx="205" formatCode="General">
                  <c:v>0.15064690999999999</c:v>
                </c:pt>
                <c:pt idx="206" formatCode="General">
                  <c:v>0.15311652000000001</c:v>
                </c:pt>
                <c:pt idx="207" formatCode="General">
                  <c:v>0.15558615000000001</c:v>
                </c:pt>
                <c:pt idx="208" formatCode="General">
                  <c:v>0.15805577000000001</c:v>
                </c:pt>
                <c:pt idx="209" formatCode="General">
                  <c:v>0.16052540000000001</c:v>
                </c:pt>
                <c:pt idx="210" formatCode="General">
                  <c:v>0.16299501</c:v>
                </c:pt>
                <c:pt idx="211" formatCode="General">
                  <c:v>0.16546464</c:v>
                </c:pt>
                <c:pt idx="212" formatCode="General">
                  <c:v>0.16793425000000001</c:v>
                </c:pt>
                <c:pt idx="213" formatCode="General">
                  <c:v>0.17040388000000001</c:v>
                </c:pt>
                <c:pt idx="214" formatCode="General">
                  <c:v>0.17287350000000001</c:v>
                </c:pt>
                <c:pt idx="215" formatCode="General">
                  <c:v>0.17534313000000001</c:v>
                </c:pt>
                <c:pt idx="216" formatCode="General">
                  <c:v>0.17781274</c:v>
                </c:pt>
                <c:pt idx="217" formatCode="General">
                  <c:v>0.18028237</c:v>
                </c:pt>
                <c:pt idx="218" formatCode="General">
                  <c:v>0.18275198000000001</c:v>
                </c:pt>
                <c:pt idx="219" formatCode="General">
                  <c:v>0.18522161000000001</c:v>
                </c:pt>
                <c:pt idx="220" formatCode="General">
                  <c:v>0.18769122999999999</c:v>
                </c:pt>
                <c:pt idx="221" formatCode="General">
                  <c:v>0.19016085999999999</c:v>
                </c:pt>
                <c:pt idx="222" formatCode="General">
                  <c:v>0.19263047</c:v>
                </c:pt>
                <c:pt idx="223" formatCode="General">
                  <c:v>0.1951001</c:v>
                </c:pt>
                <c:pt idx="224" formatCode="General">
                  <c:v>0.19756971000000001</c:v>
                </c:pt>
                <c:pt idx="225" formatCode="General">
                  <c:v>0.20003934000000001</c:v>
                </c:pt>
                <c:pt idx="226" formatCode="General">
                  <c:v>0.20250895999999999</c:v>
                </c:pt>
                <c:pt idx="227" formatCode="General">
                  <c:v>0.20497858999999999</c:v>
                </c:pt>
                <c:pt idx="228" formatCode="General">
                  <c:v>0.2074482</c:v>
                </c:pt>
                <c:pt idx="229" formatCode="General">
                  <c:v>0.20991783</c:v>
                </c:pt>
                <c:pt idx="230" formatCode="General">
                  <c:v>0.21238744000000001</c:v>
                </c:pt>
                <c:pt idx="231" formatCode="General">
                  <c:v>0.21485707000000001</c:v>
                </c:pt>
                <c:pt idx="232" formatCode="General">
                  <c:v>0.21732668999999999</c:v>
                </c:pt>
                <c:pt idx="233" formatCode="General">
                  <c:v>0.21979630999999999</c:v>
                </c:pt>
                <c:pt idx="234" formatCode="General">
                  <c:v>0.22226593</c:v>
                </c:pt>
                <c:pt idx="235" formatCode="General">
                  <c:v>0.22473556</c:v>
                </c:pt>
                <c:pt idx="236" formatCode="General">
                  <c:v>0.22720517000000001</c:v>
                </c:pt>
                <c:pt idx="237" formatCode="General">
                  <c:v>0.22967478999999999</c:v>
                </c:pt>
                <c:pt idx="238" formatCode="General">
                  <c:v>0.23214441999999999</c:v>
                </c:pt>
                <c:pt idx="239" formatCode="General">
                  <c:v>0.23461403</c:v>
                </c:pt>
                <c:pt idx="240" formatCode="General">
                  <c:v>0.23708366</c:v>
                </c:pt>
                <c:pt idx="241" formatCode="General">
                  <c:v>0.23955327000000001</c:v>
                </c:pt>
                <c:pt idx="242" formatCode="General">
                  <c:v>0.24202290000000001</c:v>
                </c:pt>
                <c:pt idx="243" formatCode="General">
                  <c:v>0.24449251999999999</c:v>
                </c:pt>
                <c:pt idx="244" formatCode="General">
                  <c:v>0.24696214</c:v>
                </c:pt>
                <c:pt idx="245" formatCode="General">
                  <c:v>0.24943176</c:v>
                </c:pt>
                <c:pt idx="246" formatCode="General">
                  <c:v>0.2519014</c:v>
                </c:pt>
                <c:pt idx="247" formatCode="General">
                  <c:v>0.25437102</c:v>
                </c:pt>
                <c:pt idx="248" formatCode="General">
                  <c:v>0.25684062000000002</c:v>
                </c:pt>
                <c:pt idx="249" formatCode="General">
                  <c:v>0.25931025000000002</c:v>
                </c:pt>
                <c:pt idx="250" formatCode="General">
                  <c:v>0.26177987000000003</c:v>
                </c:pt>
                <c:pt idx="251" formatCode="General">
                  <c:v>0.26424950000000003</c:v>
                </c:pt>
                <c:pt idx="252" formatCode="General">
                  <c:v>0.26671909999999999</c:v>
                </c:pt>
                <c:pt idx="253" formatCode="General">
                  <c:v>0.26918872999999999</c:v>
                </c:pt>
                <c:pt idx="254" formatCode="General">
                  <c:v>0.27165835999999999</c:v>
                </c:pt>
                <c:pt idx="255" formatCode="General">
                  <c:v>0.27412799999999998</c:v>
                </c:pt>
                <c:pt idx="256" formatCode="General">
                  <c:v>0.2765976</c:v>
                </c:pt>
                <c:pt idx="257" formatCode="General">
                  <c:v>0.27906722</c:v>
                </c:pt>
                <c:pt idx="258" formatCode="General">
                  <c:v>0.28153685000000001</c:v>
                </c:pt>
                <c:pt idx="259" formatCode="General">
                  <c:v>0.28400648000000001</c:v>
                </c:pt>
                <c:pt idx="260" formatCode="General">
                  <c:v>0.28647608000000002</c:v>
                </c:pt>
                <c:pt idx="261" formatCode="General">
                  <c:v>0.28894570000000003</c:v>
                </c:pt>
                <c:pt idx="262" formatCode="General">
                  <c:v>0.29141532999999997</c:v>
                </c:pt>
                <c:pt idx="263" formatCode="General">
                  <c:v>0.29388495999999997</c:v>
                </c:pt>
                <c:pt idx="264" formatCode="General">
                  <c:v>0.29635455999999999</c:v>
                </c:pt>
                <c:pt idx="265" formatCode="General">
                  <c:v>0.29882419999999998</c:v>
                </c:pt>
                <c:pt idx="266" formatCode="General">
                  <c:v>0.30129381999999999</c:v>
                </c:pt>
                <c:pt idx="267" formatCode="General">
                  <c:v>0.30376344999999999</c:v>
                </c:pt>
                <c:pt idx="268" formatCode="General">
                  <c:v>0.30623305000000001</c:v>
                </c:pt>
                <c:pt idx="269" formatCode="General">
                  <c:v>0.30870268000000001</c:v>
                </c:pt>
                <c:pt idx="270" formatCode="General">
                  <c:v>0.31117230000000001</c:v>
                </c:pt>
                <c:pt idx="271" formatCode="General">
                  <c:v>0.31364194000000001</c:v>
                </c:pt>
                <c:pt idx="272" formatCode="General">
                  <c:v>0.31611152999999997</c:v>
                </c:pt>
                <c:pt idx="273" formatCode="General">
                  <c:v>0.31858115999999997</c:v>
                </c:pt>
                <c:pt idx="274" formatCode="General">
                  <c:v>0.32105080000000003</c:v>
                </c:pt>
                <c:pt idx="275" formatCode="General">
                  <c:v>0.32352041999999998</c:v>
                </c:pt>
                <c:pt idx="276" formatCode="General">
                  <c:v>0.32599001999999999</c:v>
                </c:pt>
                <c:pt idx="277" formatCode="General">
                  <c:v>0.32845964999999999</c:v>
                </c:pt>
                <c:pt idx="278" formatCode="General">
                  <c:v>0.33092927999999999</c:v>
                </c:pt>
                <c:pt idx="279" formatCode="General">
                  <c:v>0.3333989</c:v>
                </c:pt>
                <c:pt idx="280" formatCode="General">
                  <c:v>0.33586850000000001</c:v>
                </c:pt>
                <c:pt idx="281" formatCode="General">
                  <c:v>0.33833814000000001</c:v>
                </c:pt>
                <c:pt idx="282" formatCode="General">
                  <c:v>0.34080777000000001</c:v>
                </c:pt>
                <c:pt idx="283" formatCode="General">
                  <c:v>0.34327735999999998</c:v>
                </c:pt>
                <c:pt idx="284" formatCode="General">
                  <c:v>0.34574700000000003</c:v>
                </c:pt>
                <c:pt idx="285" formatCode="General">
                  <c:v>0.34821661999999998</c:v>
                </c:pt>
                <c:pt idx="286" formatCode="General">
                  <c:v>0.35068624999999998</c:v>
                </c:pt>
                <c:pt idx="287" formatCode="General">
                  <c:v>0.35315584999999999</c:v>
                </c:pt>
                <c:pt idx="288" formatCode="General">
                  <c:v>0.35562547999999999</c:v>
                </c:pt>
                <c:pt idx="289" formatCode="General">
                  <c:v>0.3580951</c:v>
                </c:pt>
                <c:pt idx="290" formatCode="General">
                  <c:v>0.36056473999999999</c:v>
                </c:pt>
                <c:pt idx="291" formatCode="General">
                  <c:v>0.36303434000000001</c:v>
                </c:pt>
                <c:pt idx="292" formatCode="General">
                  <c:v>0.36550397000000001</c:v>
                </c:pt>
                <c:pt idx="293" formatCode="General">
                  <c:v>0.36797360000000001</c:v>
                </c:pt>
                <c:pt idx="294" formatCode="General">
                  <c:v>0.37044322000000002</c:v>
                </c:pt>
                <c:pt idx="295" formatCode="General">
                  <c:v>0.37291281999999998</c:v>
                </c:pt>
                <c:pt idx="296" formatCode="General">
                  <c:v>0.37538244999999998</c:v>
                </c:pt>
                <c:pt idx="297" formatCode="General">
                  <c:v>0.37785207999999998</c:v>
                </c:pt>
                <c:pt idx="298" formatCode="General">
                  <c:v>0.38032169999999998</c:v>
                </c:pt>
                <c:pt idx="299" formatCode="General">
                  <c:v>0.3827913</c:v>
                </c:pt>
                <c:pt idx="300" formatCode="General">
                  <c:v>0.38526094</c:v>
                </c:pt>
                <c:pt idx="301" formatCode="General">
                  <c:v>0.38773057</c:v>
                </c:pt>
                <c:pt idx="302" formatCode="General">
                  <c:v>0.3902002</c:v>
                </c:pt>
                <c:pt idx="303" formatCode="General">
                  <c:v>0.39266980000000001</c:v>
                </c:pt>
                <c:pt idx="304" formatCode="General">
                  <c:v>0.39513943000000001</c:v>
                </c:pt>
                <c:pt idx="305" formatCode="General">
                  <c:v>0.39760906000000001</c:v>
                </c:pt>
                <c:pt idx="306" formatCode="General">
                  <c:v>0.40007868000000002</c:v>
                </c:pt>
                <c:pt idx="307" formatCode="General">
                  <c:v>0.40254827999999998</c:v>
                </c:pt>
                <c:pt idx="308" formatCode="General">
                  <c:v>0.40501789999999999</c:v>
                </c:pt>
                <c:pt idx="309" formatCode="General">
                  <c:v>0.40748753999999998</c:v>
                </c:pt>
                <c:pt idx="310" formatCode="General">
                  <c:v>0.40995716999999998</c:v>
                </c:pt>
                <c:pt idx="311" formatCode="General">
                  <c:v>0.41242677</c:v>
                </c:pt>
                <c:pt idx="312" formatCode="General">
                  <c:v>0.4148964</c:v>
                </c:pt>
                <c:pt idx="313" formatCode="General">
                  <c:v>0.41736603</c:v>
                </c:pt>
                <c:pt idx="314" formatCode="General">
                  <c:v>0.41983566</c:v>
                </c:pt>
                <c:pt idx="315" formatCode="General">
                  <c:v>0.42230526000000002</c:v>
                </c:pt>
                <c:pt idx="316" formatCode="General">
                  <c:v>0.42477490000000001</c:v>
                </c:pt>
                <c:pt idx="317" formatCode="General">
                  <c:v>0.42724450000000003</c:v>
                </c:pt>
                <c:pt idx="318" formatCode="General">
                  <c:v>0.42971414000000002</c:v>
                </c:pt>
                <c:pt idx="319" formatCode="General">
                  <c:v>0.43218373999999998</c:v>
                </c:pt>
                <c:pt idx="320" formatCode="General">
                  <c:v>0.43465336999999998</c:v>
                </c:pt>
                <c:pt idx="321" formatCode="General">
                  <c:v>0.43712299999999998</c:v>
                </c:pt>
                <c:pt idx="322" formatCode="General">
                  <c:v>0.43959262999999998</c:v>
                </c:pt>
                <c:pt idx="323" formatCode="General">
                  <c:v>0.44206223</c:v>
                </c:pt>
                <c:pt idx="324" formatCode="General">
                  <c:v>0.44453186</c:v>
                </c:pt>
                <c:pt idx="325" formatCode="General">
                  <c:v>0.4470015</c:v>
                </c:pt>
                <c:pt idx="326" formatCode="General">
                  <c:v>0.44947112</c:v>
                </c:pt>
                <c:pt idx="327" formatCode="General">
                  <c:v>0.45194072000000002</c:v>
                </c:pt>
                <c:pt idx="328" formatCode="General">
                  <c:v>0.45441034000000002</c:v>
                </c:pt>
                <c:pt idx="329" formatCode="General">
                  <c:v>0.45687997000000002</c:v>
                </c:pt>
                <c:pt idx="330" formatCode="General">
                  <c:v>0.45934956999999998</c:v>
                </c:pt>
                <c:pt idx="331" formatCode="General">
                  <c:v>0.46181919999999999</c:v>
                </c:pt>
                <c:pt idx="332" formatCode="General">
                  <c:v>0.46428882999999999</c:v>
                </c:pt>
                <c:pt idx="333" formatCode="General">
                  <c:v>0.46675845999999999</c:v>
                </c:pt>
                <c:pt idx="334" formatCode="General">
                  <c:v>0.46922806</c:v>
                </c:pt>
                <c:pt idx="335" formatCode="General">
                  <c:v>0.4716977</c:v>
                </c:pt>
                <c:pt idx="336" formatCode="General">
                  <c:v>0.47416732</c:v>
                </c:pt>
                <c:pt idx="337" formatCode="General">
                  <c:v>0.47663695</c:v>
                </c:pt>
                <c:pt idx="338" formatCode="General">
                  <c:v>0.47910655000000002</c:v>
                </c:pt>
                <c:pt idx="339" formatCode="General">
                  <c:v>0.48157617000000003</c:v>
                </c:pt>
                <c:pt idx="340" formatCode="General">
                  <c:v>0.48404580000000003</c:v>
                </c:pt>
                <c:pt idx="341" formatCode="General">
                  <c:v>0.48651543000000003</c:v>
                </c:pt>
                <c:pt idx="342" formatCode="General">
                  <c:v>0.48898502999999999</c:v>
                </c:pt>
                <c:pt idx="343" formatCode="General">
                  <c:v>0.49145465999999999</c:v>
                </c:pt>
                <c:pt idx="344" formatCode="General">
                  <c:v>0.49392429999999998</c:v>
                </c:pt>
                <c:pt idx="345" formatCode="General">
                  <c:v>0.49639391999999999</c:v>
                </c:pt>
                <c:pt idx="346" formatCode="General">
                  <c:v>0.49886352</c:v>
                </c:pt>
                <c:pt idx="347" formatCode="General">
                  <c:v>0.50133320000000003</c:v>
                </c:pt>
                <c:pt idx="348" formatCode="General">
                  <c:v>0.5038028</c:v>
                </c:pt>
                <c:pt idx="349" formatCode="General">
                  <c:v>0.50627239999999996</c:v>
                </c:pt>
                <c:pt idx="350" formatCode="General">
                  <c:v>0.50874202999999996</c:v>
                </c:pt>
                <c:pt idx="351" formatCode="General">
                  <c:v>0.51121163000000003</c:v>
                </c:pt>
                <c:pt idx="352" formatCode="General">
                  <c:v>0.51368122999999999</c:v>
                </c:pt>
                <c:pt idx="353" formatCode="General">
                  <c:v>0.51615089999999997</c:v>
                </c:pt>
                <c:pt idx="354" formatCode="General">
                  <c:v>0.51862050000000004</c:v>
                </c:pt>
                <c:pt idx="355" formatCode="General">
                  <c:v>0.52109015000000003</c:v>
                </c:pt>
                <c:pt idx="356" formatCode="General">
                  <c:v>0.52355974999999999</c:v>
                </c:pt>
                <c:pt idx="357" formatCode="General">
                  <c:v>0.52602934999999995</c:v>
                </c:pt>
                <c:pt idx="358" formatCode="General">
                  <c:v>0.52849900000000005</c:v>
                </c:pt>
                <c:pt idx="359" formatCode="General">
                  <c:v>0.53096860000000001</c:v>
                </c:pt>
                <c:pt idx="360" formatCode="General">
                  <c:v>0.53343819999999997</c:v>
                </c:pt>
                <c:pt idx="361" formatCode="General">
                  <c:v>0.53590786000000001</c:v>
                </c:pt>
                <c:pt idx="362" formatCode="General">
                  <c:v>0.53837745999999997</c:v>
                </c:pt>
                <c:pt idx="363" formatCode="General">
                  <c:v>0.54084710000000003</c:v>
                </c:pt>
                <c:pt idx="364" formatCode="General">
                  <c:v>0.54331669999999999</c:v>
                </c:pt>
                <c:pt idx="365" formatCode="General">
                  <c:v>0.54578629999999995</c:v>
                </c:pt>
                <c:pt idx="366" formatCode="General">
                  <c:v>0.54825599999999997</c:v>
                </c:pt>
                <c:pt idx="367" formatCode="General">
                  <c:v>0.55072560000000004</c:v>
                </c:pt>
                <c:pt idx="368" formatCode="General">
                  <c:v>0.5531952</c:v>
                </c:pt>
                <c:pt idx="369" formatCode="General">
                  <c:v>0.55566484000000005</c:v>
                </c:pt>
                <c:pt idx="370" formatCode="General">
                  <c:v>0.55813444000000001</c:v>
                </c:pt>
                <c:pt idx="371" formatCode="General">
                  <c:v>0.56060410000000005</c:v>
                </c:pt>
                <c:pt idx="372" formatCode="General">
                  <c:v>0.56307370000000001</c:v>
                </c:pt>
                <c:pt idx="373" formatCode="General">
                  <c:v>0.56554329999999997</c:v>
                </c:pt>
                <c:pt idx="374" formatCode="General">
                  <c:v>0.56801294999999996</c:v>
                </c:pt>
                <c:pt idx="375" formatCode="General">
                  <c:v>0.57048255000000003</c:v>
                </c:pt>
                <c:pt idx="376" formatCode="General">
                  <c:v>0.57295214999999999</c:v>
                </c:pt>
                <c:pt idx="377" formatCode="General">
                  <c:v>0.57542179999999998</c:v>
                </c:pt>
                <c:pt idx="378" formatCode="General">
                  <c:v>0.57789140000000006</c:v>
                </c:pt>
                <c:pt idx="379" formatCode="General">
                  <c:v>0.58036100000000002</c:v>
                </c:pt>
                <c:pt idx="380" formatCode="General">
                  <c:v>0.58283067</c:v>
                </c:pt>
                <c:pt idx="381" formatCode="General">
                  <c:v>0.58530026999999996</c:v>
                </c:pt>
                <c:pt idx="382" formatCode="General">
                  <c:v>0.58776989999999996</c:v>
                </c:pt>
                <c:pt idx="383" formatCode="General">
                  <c:v>0.59023950000000003</c:v>
                </c:pt>
                <c:pt idx="384" formatCode="General">
                  <c:v>0.59270909999999999</c:v>
                </c:pt>
                <c:pt idx="385" formatCode="General">
                  <c:v>0.59517880000000001</c:v>
                </c:pt>
                <c:pt idx="386" formatCode="General">
                  <c:v>0.59764839999999997</c:v>
                </c:pt>
                <c:pt idx="387" formatCode="General">
                  <c:v>0.60011800000000004</c:v>
                </c:pt>
                <c:pt idx="388" formatCode="General">
                  <c:v>0.60258763999999998</c:v>
                </c:pt>
                <c:pt idx="389" formatCode="General">
                  <c:v>0.60505724000000005</c:v>
                </c:pt>
                <c:pt idx="390" formatCode="General">
                  <c:v>0.60752689999999998</c:v>
                </c:pt>
                <c:pt idx="391" formatCode="General">
                  <c:v>0.60999650000000005</c:v>
                </c:pt>
                <c:pt idx="392" formatCode="General">
                  <c:v>0.61246610000000001</c:v>
                </c:pt>
                <c:pt idx="393" formatCode="General">
                  <c:v>0.61493576000000005</c:v>
                </c:pt>
                <c:pt idx="394" formatCode="General">
                  <c:v>0.61740534999999996</c:v>
                </c:pt>
                <c:pt idx="395" formatCode="General">
                  <c:v>0.61987495000000004</c:v>
                </c:pt>
                <c:pt idx="396" formatCode="General">
                  <c:v>0.62234460000000003</c:v>
                </c:pt>
                <c:pt idx="397" formatCode="General">
                  <c:v>0.62481419999999999</c:v>
                </c:pt>
                <c:pt idx="398" formatCode="General">
                  <c:v>0.62728390000000001</c:v>
                </c:pt>
                <c:pt idx="399" formatCode="General">
                  <c:v>0.62975349999999997</c:v>
                </c:pt>
                <c:pt idx="400" formatCode="General">
                  <c:v>0.63222307</c:v>
                </c:pt>
                <c:pt idx="401" formatCode="General">
                  <c:v>0.6346927</c:v>
                </c:pt>
                <c:pt idx="402" formatCode="General">
                  <c:v>0.63716229999999996</c:v>
                </c:pt>
                <c:pt idx="403" formatCode="General">
                  <c:v>0.63963190000000003</c:v>
                </c:pt>
                <c:pt idx="404" formatCode="General">
                  <c:v>0.64210160000000005</c:v>
                </c:pt>
                <c:pt idx="405" formatCode="General">
                  <c:v>0.64457120000000001</c:v>
                </c:pt>
                <c:pt idx="406" formatCode="General">
                  <c:v>0.64704083999999995</c:v>
                </c:pt>
                <c:pt idx="407" formatCode="General">
                  <c:v>0.64951044000000002</c:v>
                </c:pt>
                <c:pt idx="408" formatCode="General">
                  <c:v>0.65198003999999998</c:v>
                </c:pt>
                <c:pt idx="409" formatCode="General">
                  <c:v>0.65444970000000002</c:v>
                </c:pt>
                <c:pt idx="410" formatCode="General">
                  <c:v>0.65691929999999998</c:v>
                </c:pt>
                <c:pt idx="411" formatCode="General">
                  <c:v>0.65938889999999994</c:v>
                </c:pt>
                <c:pt idx="412" formatCode="General">
                  <c:v>0.66185855999999998</c:v>
                </c:pt>
                <c:pt idx="413" formatCode="General">
                  <c:v>0.66432815999999995</c:v>
                </c:pt>
                <c:pt idx="414" formatCode="General">
                  <c:v>0.6667978</c:v>
                </c:pt>
                <c:pt idx="415" formatCode="General">
                  <c:v>0.66926739999999996</c:v>
                </c:pt>
                <c:pt idx="416" formatCode="General">
                  <c:v>0.67173700000000003</c:v>
                </c:pt>
                <c:pt idx="417" formatCode="General">
                  <c:v>0.67420670000000005</c:v>
                </c:pt>
                <c:pt idx="418" formatCode="General">
                  <c:v>0.67667630000000001</c:v>
                </c:pt>
                <c:pt idx="419" formatCode="General">
                  <c:v>0.67914589999999997</c:v>
                </c:pt>
                <c:pt idx="420" formatCode="General">
                  <c:v>0.68161552999999997</c:v>
                </c:pt>
                <c:pt idx="421" formatCode="General">
                  <c:v>0.68408513000000004</c:v>
                </c:pt>
                <c:pt idx="422" formatCode="General">
                  <c:v>0.68655473</c:v>
                </c:pt>
                <c:pt idx="423" formatCode="General">
                  <c:v>0.68902439999999998</c:v>
                </c:pt>
                <c:pt idx="424" formatCode="General">
                  <c:v>0.69149400000000005</c:v>
                </c:pt>
                <c:pt idx="425" formatCode="General">
                  <c:v>0.69396365000000004</c:v>
                </c:pt>
                <c:pt idx="426" formatCode="General">
                  <c:v>0.69643325</c:v>
                </c:pt>
                <c:pt idx="427" formatCode="General">
                  <c:v>0.69890284999999996</c:v>
                </c:pt>
                <c:pt idx="428" formatCode="General">
                  <c:v>0.70137249999999995</c:v>
                </c:pt>
                <c:pt idx="429" formatCode="General">
                  <c:v>0.70384210000000003</c:v>
                </c:pt>
                <c:pt idx="430" formatCode="General">
                  <c:v>0.70631169999999999</c:v>
                </c:pt>
                <c:pt idx="431" formatCode="General">
                  <c:v>0.70878136000000003</c:v>
                </c:pt>
                <c:pt idx="432" formatCode="General">
                  <c:v>0.71125095999999999</c:v>
                </c:pt>
                <c:pt idx="433" formatCode="General">
                  <c:v>0.71372060000000004</c:v>
                </c:pt>
                <c:pt idx="434" formatCode="General">
                  <c:v>0.7161902</c:v>
                </c:pt>
                <c:pt idx="435" formatCode="General">
                  <c:v>0.71865979999999996</c:v>
                </c:pt>
                <c:pt idx="436" formatCode="General">
                  <c:v>0.72112949999999998</c:v>
                </c:pt>
                <c:pt idx="437" formatCode="General">
                  <c:v>0.72359910000000005</c:v>
                </c:pt>
                <c:pt idx="438" formatCode="General">
                  <c:v>0.72606870000000001</c:v>
                </c:pt>
                <c:pt idx="439" formatCode="General">
                  <c:v>0.72853833000000001</c:v>
                </c:pt>
                <c:pt idx="440" formatCode="General">
                  <c:v>0.73100792999999997</c:v>
                </c:pt>
                <c:pt idx="441" formatCode="General">
                  <c:v>0.73347759999999995</c:v>
                </c:pt>
                <c:pt idx="442" formatCode="General">
                  <c:v>0.73594720000000002</c:v>
                </c:pt>
                <c:pt idx="443" formatCode="General">
                  <c:v>0.73841679999999998</c:v>
                </c:pt>
                <c:pt idx="444" formatCode="General">
                  <c:v>0.74088644999999997</c:v>
                </c:pt>
                <c:pt idx="445" formatCode="General">
                  <c:v>0.74335605000000005</c:v>
                </c:pt>
                <c:pt idx="446" formatCode="General">
                  <c:v>0.74582565000000001</c:v>
                </c:pt>
                <c:pt idx="447" formatCode="General">
                  <c:v>0.7482953</c:v>
                </c:pt>
                <c:pt idx="448" formatCode="General">
                  <c:v>0.75076489999999996</c:v>
                </c:pt>
                <c:pt idx="449" formatCode="General">
                  <c:v>0.75323457000000005</c:v>
                </c:pt>
                <c:pt idx="450" formatCode="General">
                  <c:v>0.75570415999999996</c:v>
                </c:pt>
                <c:pt idx="451" formatCode="General">
                  <c:v>0.75817376000000003</c:v>
                </c:pt>
                <c:pt idx="452" formatCode="General">
                  <c:v>0.76064339999999997</c:v>
                </c:pt>
                <c:pt idx="453" formatCode="General">
                  <c:v>0.76311300000000004</c:v>
                </c:pt>
                <c:pt idx="454" formatCode="General">
                  <c:v>0.7655826</c:v>
                </c:pt>
                <c:pt idx="455" formatCode="General">
                  <c:v>0.76805230000000002</c:v>
                </c:pt>
                <c:pt idx="456" formatCode="General">
                  <c:v>0.77052189999999998</c:v>
                </c:pt>
                <c:pt idx="457" formatCode="General">
                  <c:v>0.77299154000000003</c:v>
                </c:pt>
                <c:pt idx="458" formatCode="General">
                  <c:v>0.77546113999999999</c:v>
                </c:pt>
                <c:pt idx="459" formatCode="General">
                  <c:v>0.77793073999999995</c:v>
                </c:pt>
                <c:pt idx="460" formatCode="General">
                  <c:v>0.78040039999999999</c:v>
                </c:pt>
                <c:pt idx="461" formatCode="General">
                  <c:v>0.78286999999999995</c:v>
                </c:pt>
                <c:pt idx="462" formatCode="General">
                  <c:v>0.78533960000000003</c:v>
                </c:pt>
                <c:pt idx="463" formatCode="General">
                  <c:v>0.78780925000000002</c:v>
                </c:pt>
                <c:pt idx="464" formatCode="General">
                  <c:v>0.79027884999999998</c:v>
                </c:pt>
                <c:pt idx="465" formatCode="General">
                  <c:v>0.79274849999999997</c:v>
                </c:pt>
                <c:pt idx="466" formatCode="General">
                  <c:v>0.79521810000000004</c:v>
                </c:pt>
                <c:pt idx="467" formatCode="General">
                  <c:v>0.7976877</c:v>
                </c:pt>
                <c:pt idx="468" formatCode="General">
                  <c:v>0.80015736999999998</c:v>
                </c:pt>
                <c:pt idx="469" formatCode="General">
                  <c:v>0.80262697000000005</c:v>
                </c:pt>
                <c:pt idx="470" formatCode="General">
                  <c:v>0.80509657000000001</c:v>
                </c:pt>
                <c:pt idx="471" formatCode="General">
                  <c:v>0.80756620000000001</c:v>
                </c:pt>
                <c:pt idx="472" formatCode="General">
                  <c:v>0.81003579999999997</c:v>
                </c:pt>
                <c:pt idx="473" formatCode="General">
                  <c:v>0.81250540000000004</c:v>
                </c:pt>
                <c:pt idx="474" formatCode="General">
                  <c:v>0.81497509999999995</c:v>
                </c:pt>
                <c:pt idx="475" formatCode="General">
                  <c:v>0.81744470000000002</c:v>
                </c:pt>
                <c:pt idx="476" formatCode="General">
                  <c:v>0.81991433999999996</c:v>
                </c:pt>
                <c:pt idx="477" formatCode="General">
                  <c:v>0.82238394000000004</c:v>
                </c:pt>
                <c:pt idx="478" formatCode="General">
                  <c:v>0.82485354</c:v>
                </c:pt>
                <c:pt idx="479" formatCode="General">
                  <c:v>0.82732320000000004</c:v>
                </c:pt>
                <c:pt idx="480" formatCode="General">
                  <c:v>0.8297928</c:v>
                </c:pt>
                <c:pt idx="481" formatCode="General">
                  <c:v>0.83226239999999996</c:v>
                </c:pt>
                <c:pt idx="482" formatCode="General">
                  <c:v>0.83473206</c:v>
                </c:pt>
                <c:pt idx="483" formatCode="General">
                  <c:v>0.83720165000000002</c:v>
                </c:pt>
                <c:pt idx="484" formatCode="General">
                  <c:v>0.83967130000000001</c:v>
                </c:pt>
                <c:pt idx="485" formatCode="General">
                  <c:v>0.84214089999999997</c:v>
                </c:pt>
                <c:pt idx="486" formatCode="General">
                  <c:v>0.84461050000000004</c:v>
                </c:pt>
                <c:pt idx="487" formatCode="General">
                  <c:v>0.84708019999999995</c:v>
                </c:pt>
                <c:pt idx="488" formatCode="General">
                  <c:v>0.84954980000000002</c:v>
                </c:pt>
                <c:pt idx="489" formatCode="General">
                  <c:v>0.85201937000000005</c:v>
                </c:pt>
                <c:pt idx="490" formatCode="General">
                  <c:v>0.85448900000000005</c:v>
                </c:pt>
                <c:pt idx="491" formatCode="General">
                  <c:v>0.85695860000000001</c:v>
                </c:pt>
                <c:pt idx="492" formatCode="General">
                  <c:v>0.85942830000000003</c:v>
                </c:pt>
                <c:pt idx="493" formatCode="General">
                  <c:v>0.86189789999999999</c:v>
                </c:pt>
                <c:pt idx="494" formatCode="General">
                  <c:v>0.86436749999999996</c:v>
                </c:pt>
                <c:pt idx="495" formatCode="General">
                  <c:v>0.86683714000000001</c:v>
                </c:pt>
                <c:pt idx="496" formatCode="General">
                  <c:v>0.86930673999999997</c:v>
                </c:pt>
                <c:pt idx="497" formatCode="General">
                  <c:v>0.87177634000000004</c:v>
                </c:pt>
                <c:pt idx="498" formatCode="General">
                  <c:v>0.87424599999999997</c:v>
                </c:pt>
                <c:pt idx="499" formatCode="General">
                  <c:v>0.87671560000000004</c:v>
                </c:pt>
                <c:pt idx="500" formatCode="General">
                  <c:v>0.87918525999999997</c:v>
                </c:pt>
                <c:pt idx="501" formatCode="General">
                  <c:v>0.88165486000000004</c:v>
                </c:pt>
                <c:pt idx="502" formatCode="General">
                  <c:v>0.88412446</c:v>
                </c:pt>
                <c:pt idx="503" formatCode="General">
                  <c:v>0.88659410000000005</c:v>
                </c:pt>
                <c:pt idx="504" formatCode="General">
                  <c:v>0.88906370000000001</c:v>
                </c:pt>
                <c:pt idx="505" formatCode="General">
                  <c:v>0.89153329999999997</c:v>
                </c:pt>
                <c:pt idx="506" formatCode="General">
                  <c:v>0.89400299999999999</c:v>
                </c:pt>
                <c:pt idx="507" formatCode="General">
                  <c:v>0.89647259999999995</c:v>
                </c:pt>
                <c:pt idx="508" formatCode="General">
                  <c:v>0.89894222999999995</c:v>
                </c:pt>
                <c:pt idx="509" formatCode="General">
                  <c:v>0.90141183000000003</c:v>
                </c:pt>
                <c:pt idx="510" formatCode="General">
                  <c:v>0.90141183000000003</c:v>
                </c:pt>
                <c:pt idx="511" formatCode="General">
                  <c:v>1.8028237</c:v>
                </c:pt>
                <c:pt idx="512" formatCode="General">
                  <c:v>2.7042356000000001</c:v>
                </c:pt>
                <c:pt idx="513" formatCode="General">
                  <c:v>3.6056473000000002</c:v>
                </c:pt>
                <c:pt idx="514" formatCode="General">
                  <c:v>4.5070589999999999</c:v>
                </c:pt>
                <c:pt idx="515" formatCode="General">
                  <c:v>5.4084709999999996</c:v>
                </c:pt>
                <c:pt idx="516" formatCode="General">
                  <c:v>6.3098825999999999</c:v>
                </c:pt>
                <c:pt idx="517" formatCode="General">
                  <c:v>7.2112946999999998</c:v>
                </c:pt>
                <c:pt idx="518" formatCode="General">
                  <c:v>8.1127059999999993</c:v>
                </c:pt>
                <c:pt idx="519" formatCode="General">
                  <c:v>9.0141179999999999</c:v>
                </c:pt>
                <c:pt idx="520" formatCode="General">
                  <c:v>9.9155300000000004</c:v>
                </c:pt>
                <c:pt idx="521" formatCode="General">
                  <c:v>10.816941999999999</c:v>
                </c:pt>
                <c:pt idx="522" formatCode="General">
                  <c:v>11.718353</c:v>
                </c:pt>
                <c:pt idx="523" formatCode="General">
                  <c:v>12.619764999999999</c:v>
                </c:pt>
                <c:pt idx="524" formatCode="General">
                  <c:v>13.521177</c:v>
                </c:pt>
                <c:pt idx="525" formatCode="General">
                  <c:v>14.422589</c:v>
                </c:pt>
                <c:pt idx="526" formatCode="General">
                  <c:v>15.324001000000001</c:v>
                </c:pt>
                <c:pt idx="527" formatCode="General">
                  <c:v>16.225411999999999</c:v>
                </c:pt>
                <c:pt idx="528" formatCode="General">
                  <c:v>17.126825</c:v>
                </c:pt>
                <c:pt idx="529" formatCode="General">
                  <c:v>18.028236</c:v>
                </c:pt>
                <c:pt idx="530" formatCode="General">
                  <c:v>18.929646999999999</c:v>
                </c:pt>
                <c:pt idx="531" formatCode="General">
                  <c:v>19.831060000000001</c:v>
                </c:pt>
                <c:pt idx="532" formatCode="General">
                  <c:v>20.732471</c:v>
                </c:pt>
                <c:pt idx="533" formatCode="General">
                  <c:v>21.633883999999998</c:v>
                </c:pt>
                <c:pt idx="534" formatCode="General">
                  <c:v>22.535295000000001</c:v>
                </c:pt>
                <c:pt idx="535" formatCode="General">
                  <c:v>23.436706999999998</c:v>
                </c:pt>
                <c:pt idx="536" formatCode="General">
                  <c:v>24.33812</c:v>
                </c:pt>
                <c:pt idx="537" formatCode="General">
                  <c:v>25.239529999999998</c:v>
                </c:pt>
                <c:pt idx="538" formatCode="General">
                  <c:v>26.140944000000001</c:v>
                </c:pt>
                <c:pt idx="539" formatCode="General">
                  <c:v>27.042355000000001</c:v>
                </c:pt>
                <c:pt idx="540" formatCode="General">
                  <c:v>27.943766</c:v>
                </c:pt>
                <c:pt idx="541" formatCode="General">
                  <c:v>28.845179000000002</c:v>
                </c:pt>
                <c:pt idx="542" formatCode="General">
                  <c:v>29.746590000000001</c:v>
                </c:pt>
                <c:pt idx="543" formatCode="General">
                  <c:v>30.648002999999999</c:v>
                </c:pt>
                <c:pt idx="544" formatCode="General">
                  <c:v>31.549413999999999</c:v>
                </c:pt>
                <c:pt idx="545" formatCode="General">
                  <c:v>32.450825000000002</c:v>
                </c:pt>
                <c:pt idx="546" formatCode="General">
                  <c:v>33.352238</c:v>
                </c:pt>
                <c:pt idx="547" formatCode="General">
                  <c:v>34.25365</c:v>
                </c:pt>
                <c:pt idx="548" formatCode="General">
                  <c:v>35.155059999999999</c:v>
                </c:pt>
                <c:pt idx="549" formatCode="General">
                  <c:v>36.056472999999997</c:v>
                </c:pt>
                <c:pt idx="550" formatCode="General">
                  <c:v>36.957886000000002</c:v>
                </c:pt>
                <c:pt idx="551" formatCode="General">
                  <c:v>37.859295000000003</c:v>
                </c:pt>
                <c:pt idx="552" formatCode="General">
                  <c:v>38.760708000000001</c:v>
                </c:pt>
                <c:pt idx="553" formatCode="General">
                  <c:v>39.662120000000002</c:v>
                </c:pt>
                <c:pt idx="554" formatCode="General">
                  <c:v>40.563533999999997</c:v>
                </c:pt>
                <c:pt idx="555" formatCode="General">
                  <c:v>41.464942999999998</c:v>
                </c:pt>
                <c:pt idx="556" formatCode="General">
                  <c:v>42.366356000000003</c:v>
                </c:pt>
                <c:pt idx="557" formatCode="General">
                  <c:v>43.267769999999999</c:v>
                </c:pt>
                <c:pt idx="558" formatCode="General">
                  <c:v>44.169178000000002</c:v>
                </c:pt>
                <c:pt idx="559" formatCode="General">
                  <c:v>45.070590000000003</c:v>
                </c:pt>
                <c:pt idx="560" formatCode="General">
                  <c:v>45.972003999999998</c:v>
                </c:pt>
                <c:pt idx="561" formatCode="General">
                  <c:v>46.873412999999999</c:v>
                </c:pt>
                <c:pt idx="562" formatCode="General">
                  <c:v>47.774825999999997</c:v>
                </c:pt>
                <c:pt idx="563" formatCode="General">
                  <c:v>48.67624</c:v>
                </c:pt>
                <c:pt idx="564" formatCode="General">
                  <c:v>49.577652</c:v>
                </c:pt>
                <c:pt idx="565" formatCode="General">
                  <c:v>50.479059999999997</c:v>
                </c:pt>
                <c:pt idx="566" formatCode="General">
                  <c:v>51.380474</c:v>
                </c:pt>
                <c:pt idx="567" formatCode="General">
                  <c:v>52.281886999999998</c:v>
                </c:pt>
                <c:pt idx="568" formatCode="General">
                  <c:v>53.183295999999999</c:v>
                </c:pt>
                <c:pt idx="569" formatCode="General">
                  <c:v>54.084710000000001</c:v>
                </c:pt>
                <c:pt idx="570" formatCode="General">
                  <c:v>54.986122000000002</c:v>
                </c:pt>
                <c:pt idx="571" formatCode="General">
                  <c:v>55.887529999999998</c:v>
                </c:pt>
                <c:pt idx="572" formatCode="General">
                  <c:v>56.788944000000001</c:v>
                </c:pt>
                <c:pt idx="573" formatCode="General">
                  <c:v>57.690356999999999</c:v>
                </c:pt>
                <c:pt idx="574" formatCode="General">
                  <c:v>58.591769999999997</c:v>
                </c:pt>
                <c:pt idx="575" formatCode="General">
                  <c:v>59.493180000000002</c:v>
                </c:pt>
                <c:pt idx="576" formatCode="General">
                  <c:v>60.394592000000003</c:v>
                </c:pt>
                <c:pt idx="577" formatCode="General">
                  <c:v>61.296005000000001</c:v>
                </c:pt>
                <c:pt idx="578" formatCode="General">
                  <c:v>62.197414000000002</c:v>
                </c:pt>
                <c:pt idx="579" formatCode="General">
                  <c:v>63.098827</c:v>
                </c:pt>
                <c:pt idx="580" formatCode="General">
                  <c:v>64.000240000000005</c:v>
                </c:pt>
                <c:pt idx="581" formatCode="General">
                  <c:v>64.901650000000004</c:v>
                </c:pt>
                <c:pt idx="582" formatCode="General">
                  <c:v>65.803060000000002</c:v>
                </c:pt>
                <c:pt idx="583" formatCode="General">
                  <c:v>66.704475000000002</c:v>
                </c:pt>
                <c:pt idx="584" formatCode="General">
                  <c:v>67.605890000000002</c:v>
                </c:pt>
                <c:pt idx="585" formatCode="General">
                  <c:v>68.507300000000001</c:v>
                </c:pt>
                <c:pt idx="586" formatCode="General">
                  <c:v>69.408714000000003</c:v>
                </c:pt>
                <c:pt idx="587" formatCode="General">
                  <c:v>70.310119999999998</c:v>
                </c:pt>
                <c:pt idx="588" formatCode="General">
                  <c:v>71.211529999999996</c:v>
                </c:pt>
                <c:pt idx="589" formatCode="General">
                  <c:v>72.112945999999994</c:v>
                </c:pt>
                <c:pt idx="590" formatCode="General">
                  <c:v>73.014359999999996</c:v>
                </c:pt>
                <c:pt idx="591" formatCode="General">
                  <c:v>73.915769999999995</c:v>
                </c:pt>
                <c:pt idx="592" formatCode="General">
                  <c:v>74.817183999999997</c:v>
                </c:pt>
                <c:pt idx="593" formatCode="General">
                  <c:v>75.718590000000006</c:v>
                </c:pt>
                <c:pt idx="594" formatCode="General">
                  <c:v>76.62</c:v>
                </c:pt>
                <c:pt idx="595" formatCode="General">
                  <c:v>77.521416000000002</c:v>
                </c:pt>
                <c:pt idx="596" formatCode="General">
                  <c:v>78.422830000000005</c:v>
                </c:pt>
                <c:pt idx="597" formatCode="General">
                  <c:v>79.324240000000003</c:v>
                </c:pt>
                <c:pt idx="598" formatCode="General">
                  <c:v>80.225655000000003</c:v>
                </c:pt>
                <c:pt idx="599" formatCode="General">
                  <c:v>81.127070000000003</c:v>
                </c:pt>
                <c:pt idx="600" formatCode="General">
                  <c:v>82.028469999999999</c:v>
                </c:pt>
                <c:pt idx="601" formatCode="General">
                  <c:v>82.929885999999996</c:v>
                </c:pt>
                <c:pt idx="602" formatCode="General">
                  <c:v>83.831299999999999</c:v>
                </c:pt>
                <c:pt idx="603" formatCode="General">
                  <c:v>84.732709999999997</c:v>
                </c:pt>
                <c:pt idx="604" formatCode="General">
                  <c:v>85.634124999999997</c:v>
                </c:pt>
                <c:pt idx="605" formatCode="General">
                  <c:v>86.535539999999997</c:v>
                </c:pt>
                <c:pt idx="606" formatCode="General">
                  <c:v>87.436949999999996</c:v>
                </c:pt>
                <c:pt idx="607" formatCode="General">
                  <c:v>88.338356000000005</c:v>
                </c:pt>
                <c:pt idx="608" formatCode="General">
                  <c:v>89.239769999999993</c:v>
                </c:pt>
                <c:pt idx="609" formatCode="General">
                  <c:v>90.141180000000006</c:v>
                </c:pt>
                <c:pt idx="610" formatCode="General">
                  <c:v>91.042595000000006</c:v>
                </c:pt>
                <c:pt idx="611" formatCode="General">
                  <c:v>91.944010000000006</c:v>
                </c:pt>
                <c:pt idx="612" formatCode="General">
                  <c:v>92.845420000000004</c:v>
                </c:pt>
                <c:pt idx="613" formatCode="General">
                  <c:v>93.746825999999999</c:v>
                </c:pt>
                <c:pt idx="614" formatCode="General">
                  <c:v>94.648240000000001</c:v>
                </c:pt>
                <c:pt idx="615" formatCode="General">
                  <c:v>95.54965</c:v>
                </c:pt>
                <c:pt idx="616" formatCode="General">
                  <c:v>96.451065</c:v>
                </c:pt>
                <c:pt idx="617" formatCode="General">
                  <c:v>97.35248</c:v>
                </c:pt>
                <c:pt idx="618" formatCode="General">
                  <c:v>98.253889999999998</c:v>
                </c:pt>
                <c:pt idx="619" formatCode="General">
                  <c:v>99.155304000000001</c:v>
                </c:pt>
                <c:pt idx="620" formatCode="General">
                  <c:v>100.05671</c:v>
                </c:pt>
                <c:pt idx="621" formatCode="General">
                  <c:v>100.95811999999999</c:v>
                </c:pt>
                <c:pt idx="622" formatCode="General">
                  <c:v>101.85953499999999</c:v>
                </c:pt>
                <c:pt idx="623" formatCode="General">
                  <c:v>102.76094999999999</c:v>
                </c:pt>
                <c:pt idx="624" formatCode="General">
                  <c:v>103.66236000000001</c:v>
                </c:pt>
                <c:pt idx="625" formatCode="General">
                  <c:v>104.563774</c:v>
                </c:pt>
                <c:pt idx="626" formatCode="General">
                  <c:v>105.46519000000001</c:v>
                </c:pt>
                <c:pt idx="627" formatCode="General">
                  <c:v>106.36659</c:v>
                </c:pt>
                <c:pt idx="628" formatCode="General">
                  <c:v>107.268005</c:v>
                </c:pt>
                <c:pt idx="629" formatCode="General">
                  <c:v>108.16942</c:v>
                </c:pt>
                <c:pt idx="630" formatCode="General">
                  <c:v>109.07083</c:v>
                </c:pt>
                <c:pt idx="631" formatCode="General">
                  <c:v>109.972244</c:v>
                </c:pt>
                <c:pt idx="632" formatCode="General">
                  <c:v>110.87366</c:v>
                </c:pt>
                <c:pt idx="633" formatCode="General">
                  <c:v>111.77506</c:v>
                </c:pt>
                <c:pt idx="634" formatCode="General">
                  <c:v>112.67647599999999</c:v>
                </c:pt>
                <c:pt idx="635" formatCode="General">
                  <c:v>113.57789</c:v>
                </c:pt>
                <c:pt idx="636" formatCode="General">
                  <c:v>114.47929999999999</c:v>
                </c:pt>
                <c:pt idx="637" formatCode="General">
                  <c:v>115.380714</c:v>
                </c:pt>
                <c:pt idx="638" formatCode="General">
                  <c:v>116.28213</c:v>
                </c:pt>
                <c:pt idx="639" formatCode="General">
                  <c:v>117.18353999999999</c:v>
                </c:pt>
                <c:pt idx="640" formatCode="General">
                  <c:v>118.084946</c:v>
                </c:pt>
                <c:pt idx="641" formatCode="General">
                  <c:v>118.98636</c:v>
                </c:pt>
                <c:pt idx="642" formatCode="General">
                  <c:v>119.88777</c:v>
                </c:pt>
                <c:pt idx="643" formatCode="General">
                  <c:v>120.789185</c:v>
                </c:pt>
                <c:pt idx="644" formatCode="General">
                  <c:v>121.6906</c:v>
                </c:pt>
                <c:pt idx="645" formatCode="General">
                  <c:v>122.59201</c:v>
                </c:pt>
                <c:pt idx="646" formatCode="General">
                  <c:v>123.49342</c:v>
                </c:pt>
                <c:pt idx="647" formatCode="General">
                  <c:v>124.39483</c:v>
                </c:pt>
                <c:pt idx="648" formatCode="General">
                  <c:v>125.29624</c:v>
                </c:pt>
                <c:pt idx="649" formatCode="General">
                  <c:v>126.197655</c:v>
                </c:pt>
                <c:pt idx="650" formatCode="General">
                  <c:v>127.09907</c:v>
                </c:pt>
                <c:pt idx="651" formatCode="General">
                  <c:v>128.00047000000001</c:v>
                </c:pt>
                <c:pt idx="652" formatCode="General">
                  <c:v>128.90189000000001</c:v>
                </c:pt>
                <c:pt idx="653" formatCode="General">
                  <c:v>129.80330000000001</c:v>
                </c:pt>
                <c:pt idx="654" formatCode="General">
                  <c:v>130.70471000000001</c:v>
                </c:pt>
                <c:pt idx="655" formatCode="General">
                  <c:v>131.60612</c:v>
                </c:pt>
                <c:pt idx="656" formatCode="General">
                  <c:v>132.50754000000001</c:v>
                </c:pt>
                <c:pt idx="657" formatCode="General">
                  <c:v>133.40895</c:v>
                </c:pt>
                <c:pt idx="658" formatCode="General">
                  <c:v>134.31036</c:v>
                </c:pt>
                <c:pt idx="659" formatCode="General">
                  <c:v>135.21178</c:v>
                </c:pt>
              </c:numCache>
            </c:numRef>
          </c:xVal>
          <c:yVal>
            <c:numRef>
              <c:f>MIFT!$Q$2:$Q$661</c:f>
              <c:numCache>
                <c:formatCode>General</c:formatCode>
                <c:ptCount val="660"/>
                <c:pt idx="0">
                  <c:v>-1.2529676999999999</c:v>
                </c:pt>
                <c:pt idx="1">
                  <c:v>-0.93848089999999995</c:v>
                </c:pt>
                <c:pt idx="2">
                  <c:v>-0.94123440000000003</c:v>
                </c:pt>
                <c:pt idx="3">
                  <c:v>-0.94128655999999999</c:v>
                </c:pt>
                <c:pt idx="4">
                  <c:v>-0.94128869999999998</c:v>
                </c:pt>
                <c:pt idx="5">
                  <c:v>-0.94128860000000003</c:v>
                </c:pt>
                <c:pt idx="6">
                  <c:v>-0.94128822999999995</c:v>
                </c:pt>
                <c:pt idx="7">
                  <c:v>-0.94128789999999996</c:v>
                </c:pt>
                <c:pt idx="8">
                  <c:v>-0.94128750000000005</c:v>
                </c:pt>
                <c:pt idx="9">
                  <c:v>-0.94128716000000001</c:v>
                </c:pt>
                <c:pt idx="10">
                  <c:v>-0.94128690000000004</c:v>
                </c:pt>
                <c:pt idx="11">
                  <c:v>-0.94128670000000003</c:v>
                </c:pt>
                <c:pt idx="12">
                  <c:v>-0.94128639999999997</c:v>
                </c:pt>
                <c:pt idx="13">
                  <c:v>-0.94128615000000004</c:v>
                </c:pt>
                <c:pt idx="14">
                  <c:v>-0.94128590000000001</c:v>
                </c:pt>
                <c:pt idx="15">
                  <c:v>-0.9412857</c:v>
                </c:pt>
                <c:pt idx="16">
                  <c:v>-0.94128555000000003</c:v>
                </c:pt>
                <c:pt idx="17">
                  <c:v>-0.94128540000000005</c:v>
                </c:pt>
                <c:pt idx="18">
                  <c:v>-0.94128513000000003</c:v>
                </c:pt>
                <c:pt idx="19">
                  <c:v>-0.94128495000000001</c:v>
                </c:pt>
                <c:pt idx="20">
                  <c:v>-0.94128484000000001</c:v>
                </c:pt>
                <c:pt idx="21">
                  <c:v>-0.94128466</c:v>
                </c:pt>
                <c:pt idx="22">
                  <c:v>-0.94128449999999997</c:v>
                </c:pt>
                <c:pt idx="23">
                  <c:v>-0.94128436000000004</c:v>
                </c:pt>
                <c:pt idx="24">
                  <c:v>-0.94128423999999999</c:v>
                </c:pt>
                <c:pt idx="25">
                  <c:v>-0.94128409999999996</c:v>
                </c:pt>
                <c:pt idx="26">
                  <c:v>-0.94128400000000001</c:v>
                </c:pt>
                <c:pt idx="27">
                  <c:v>-0.94128389999999995</c:v>
                </c:pt>
                <c:pt idx="28">
                  <c:v>-0.94128376000000002</c:v>
                </c:pt>
                <c:pt idx="29">
                  <c:v>-0.94128363999999998</c:v>
                </c:pt>
                <c:pt idx="30">
                  <c:v>-0.94128350000000005</c:v>
                </c:pt>
                <c:pt idx="31">
                  <c:v>-0.94128339999999999</c:v>
                </c:pt>
                <c:pt idx="32">
                  <c:v>-0.94128319999999999</c:v>
                </c:pt>
                <c:pt idx="33">
                  <c:v>-0.94128316999999995</c:v>
                </c:pt>
                <c:pt idx="34">
                  <c:v>-0.94128305000000001</c:v>
                </c:pt>
                <c:pt idx="35">
                  <c:v>-0.94128290000000003</c:v>
                </c:pt>
                <c:pt idx="36">
                  <c:v>-0.94128286999999999</c:v>
                </c:pt>
                <c:pt idx="37">
                  <c:v>-0.94128274999999995</c:v>
                </c:pt>
                <c:pt idx="38">
                  <c:v>-0.94128270000000003</c:v>
                </c:pt>
                <c:pt idx="39">
                  <c:v>-0.94128259999999997</c:v>
                </c:pt>
                <c:pt idx="40">
                  <c:v>-0.94128244999999999</c:v>
                </c:pt>
                <c:pt idx="41">
                  <c:v>-0.94128239999999996</c:v>
                </c:pt>
                <c:pt idx="42">
                  <c:v>-0.94128230000000002</c:v>
                </c:pt>
                <c:pt idx="43">
                  <c:v>-0.94128219999999996</c:v>
                </c:pt>
                <c:pt idx="44">
                  <c:v>-0.94128210000000001</c:v>
                </c:pt>
                <c:pt idx="45">
                  <c:v>-0.94128202999999999</c:v>
                </c:pt>
                <c:pt idx="46">
                  <c:v>-0.94128199999999995</c:v>
                </c:pt>
                <c:pt idx="47">
                  <c:v>-0.94128186000000003</c:v>
                </c:pt>
                <c:pt idx="48">
                  <c:v>-0.94128179999999995</c:v>
                </c:pt>
                <c:pt idx="49">
                  <c:v>-0.94128173999999998</c:v>
                </c:pt>
                <c:pt idx="50">
                  <c:v>-0.94128160000000005</c:v>
                </c:pt>
                <c:pt idx="51">
                  <c:v>-0.94128155999999996</c:v>
                </c:pt>
                <c:pt idx="52">
                  <c:v>-0.94128126000000001</c:v>
                </c:pt>
                <c:pt idx="53">
                  <c:v>-0.94128089999999998</c:v>
                </c:pt>
                <c:pt idx="54">
                  <c:v>-0.94128060000000002</c:v>
                </c:pt>
                <c:pt idx="55">
                  <c:v>-0.94128025000000004</c:v>
                </c:pt>
                <c:pt idx="56">
                  <c:v>-0.94127994999999998</c:v>
                </c:pt>
                <c:pt idx="57">
                  <c:v>-0.94127959999999999</c:v>
                </c:pt>
                <c:pt idx="58">
                  <c:v>-0.94127930000000004</c:v>
                </c:pt>
                <c:pt idx="59">
                  <c:v>-0.94127892999999996</c:v>
                </c:pt>
                <c:pt idx="60">
                  <c:v>-0.94127864000000006</c:v>
                </c:pt>
                <c:pt idx="61">
                  <c:v>-0.94127864000000006</c:v>
                </c:pt>
                <c:pt idx="62">
                  <c:v>-0.94045155999999996</c:v>
                </c:pt>
                <c:pt idx="63">
                  <c:v>-0.91903480000000004</c:v>
                </c:pt>
                <c:pt idx="64">
                  <c:v>-0.8664558</c:v>
                </c:pt>
                <c:pt idx="65">
                  <c:v>-0.80018383000000004</c:v>
                </c:pt>
                <c:pt idx="66">
                  <c:v>-0.74291724000000003</c:v>
                </c:pt>
                <c:pt idx="67">
                  <c:v>-0.69465624999999998</c:v>
                </c:pt>
                <c:pt idx="68">
                  <c:v>-0.65512574000000001</c:v>
                </c:pt>
                <c:pt idx="69">
                  <c:v>-0.62346939999999995</c:v>
                </c:pt>
                <c:pt idx="70">
                  <c:v>-0.59181309999999998</c:v>
                </c:pt>
                <c:pt idx="71">
                  <c:v>-0.56441330000000001</c:v>
                </c:pt>
                <c:pt idx="72">
                  <c:v>-0.53833085000000003</c:v>
                </c:pt>
                <c:pt idx="73">
                  <c:v>-0.5132949</c:v>
                </c:pt>
                <c:pt idx="74">
                  <c:v>-0.49122510000000003</c:v>
                </c:pt>
                <c:pt idx="75">
                  <c:v>-0.46915533999999998</c:v>
                </c:pt>
                <c:pt idx="76">
                  <c:v>-0.44819212000000003</c:v>
                </c:pt>
                <c:pt idx="77">
                  <c:v>-0.42836937000000003</c:v>
                </c:pt>
                <c:pt idx="78">
                  <c:v>-0.40944206999999999</c:v>
                </c:pt>
                <c:pt idx="79">
                  <c:v>-0.39141023000000003</c:v>
                </c:pt>
                <c:pt idx="80">
                  <c:v>-0.37427387000000001</c:v>
                </c:pt>
                <c:pt idx="81">
                  <c:v>-0.35788472999999998</c:v>
                </c:pt>
                <c:pt idx="82">
                  <c:v>-0.34228227</c:v>
                </c:pt>
                <c:pt idx="83">
                  <c:v>-0.32750679999999999</c:v>
                </c:pt>
                <c:pt idx="84">
                  <c:v>-0.31355833999999999</c:v>
                </c:pt>
                <c:pt idx="85">
                  <c:v>-0.30043690000000001</c:v>
                </c:pt>
                <c:pt idx="86">
                  <c:v>-0.28727627</c:v>
                </c:pt>
                <c:pt idx="87">
                  <c:v>-0.27429609999999999</c:v>
                </c:pt>
                <c:pt idx="88">
                  <c:v>-0.26173950000000001</c:v>
                </c:pt>
                <c:pt idx="89">
                  <c:v>-0.24960642999999999</c:v>
                </c:pt>
                <c:pt idx="90">
                  <c:v>-0.23789689</c:v>
                </c:pt>
                <c:pt idx="91">
                  <c:v>-0.22661091</c:v>
                </c:pt>
                <c:pt idx="92">
                  <c:v>-0.21574846</c:v>
                </c:pt>
                <c:pt idx="93">
                  <c:v>-0.20530955000000001</c:v>
                </c:pt>
                <c:pt idx="94">
                  <c:v>-0.19529419000000001</c:v>
                </c:pt>
                <c:pt idx="95">
                  <c:v>-0.18570237000000001</c:v>
                </c:pt>
                <c:pt idx="96">
                  <c:v>-0.17595659</c:v>
                </c:pt>
                <c:pt idx="97">
                  <c:v>-0.16629931000000001</c:v>
                </c:pt>
                <c:pt idx="98">
                  <c:v>-0.15691935000000001</c:v>
                </c:pt>
                <c:pt idx="99">
                  <c:v>-0.14781669</c:v>
                </c:pt>
                <c:pt idx="100">
                  <c:v>-0.13899136000000001</c:v>
                </c:pt>
                <c:pt idx="101">
                  <c:v>-0.13044335000000001</c:v>
                </c:pt>
                <c:pt idx="102">
                  <c:v>-0.122172646</c:v>
                </c:pt>
                <c:pt idx="103">
                  <c:v>-0.11417927</c:v>
                </c:pt>
                <c:pt idx="104">
                  <c:v>-0.10646321</c:v>
                </c:pt>
                <c:pt idx="105">
                  <c:v>-9.9024459999999995E-2</c:v>
                </c:pt>
                <c:pt idx="106">
                  <c:v>-9.135973E-2</c:v>
                </c:pt>
                <c:pt idx="107">
                  <c:v>-8.3668313999999994E-2</c:v>
                </c:pt>
                <c:pt idx="108">
                  <c:v>-7.6124629999999999E-2</c:v>
                </c:pt>
                <c:pt idx="109">
                  <c:v>-6.8728659999999997E-2</c:v>
                </c:pt>
                <c:pt idx="110">
                  <c:v>-6.1480413999999997E-2</c:v>
                </c:pt>
                <c:pt idx="111">
                  <c:v>-5.4379888000000001E-2</c:v>
                </c:pt>
                <c:pt idx="112">
                  <c:v>-4.7427080000000003E-2</c:v>
                </c:pt>
                <c:pt idx="113">
                  <c:v>-4.0621996E-2</c:v>
                </c:pt>
                <c:pt idx="114">
                  <c:v>-3.3964630000000003E-2</c:v>
                </c:pt>
                <c:pt idx="115">
                  <c:v>-2.7454982999999999E-2</c:v>
                </c:pt>
                <c:pt idx="116">
                  <c:v>-2.087234E-2</c:v>
                </c:pt>
                <c:pt idx="117">
                  <c:v>-1.4298689E-2</c:v>
                </c:pt>
                <c:pt idx="118">
                  <c:v>-7.8149480000000004E-3</c:v>
                </c:pt>
                <c:pt idx="119">
                  <c:v>-1.4211192000000001E-3</c:v>
                </c:pt>
                <c:pt idx="120">
                  <c:v>4.8827990000000002E-3</c:v>
                </c:pt>
                <c:pt idx="121">
                  <c:v>4.8827990000000002E-3</c:v>
                </c:pt>
                <c:pt idx="122">
                  <c:v>0.29069426999999998</c:v>
                </c:pt>
                <c:pt idx="123">
                  <c:v>0.48331400000000002</c:v>
                </c:pt>
                <c:pt idx="124">
                  <c:v>0.62503960000000003</c:v>
                </c:pt>
                <c:pt idx="125">
                  <c:v>0.73626259999999999</c:v>
                </c:pt>
                <c:pt idx="126">
                  <c:v>0.83201736000000004</c:v>
                </c:pt>
                <c:pt idx="127">
                  <c:v>0.91482209999999997</c:v>
                </c:pt>
                <c:pt idx="128">
                  <c:v>0.98614544000000004</c:v>
                </c:pt>
                <c:pt idx="129">
                  <c:v>1.0485173000000001</c:v>
                </c:pt>
                <c:pt idx="130">
                  <c:v>1.1039931999999999</c:v>
                </c:pt>
                <c:pt idx="131">
                  <c:v>1.1534888000000001</c:v>
                </c:pt>
                <c:pt idx="132">
                  <c:v>1.1982109999999999</c:v>
                </c:pt>
                <c:pt idx="133">
                  <c:v>1.2390888</c:v>
                </c:pt>
                <c:pt idx="134">
                  <c:v>1.2769396</c:v>
                </c:pt>
                <c:pt idx="135">
                  <c:v>1.3126884000000001</c:v>
                </c:pt>
                <c:pt idx="136">
                  <c:v>1.3457922</c:v>
                </c:pt>
                <c:pt idx="137">
                  <c:v>1.3771656000000001</c:v>
                </c:pt>
                <c:pt idx="138">
                  <c:v>1.4067619</c:v>
                </c:pt>
                <c:pt idx="139">
                  <c:v>1.4346945</c:v>
                </c:pt>
                <c:pt idx="140">
                  <c:v>1.4612423000000001</c:v>
                </c:pt>
                <c:pt idx="141">
                  <c:v>1.4863869000000001</c:v>
                </c:pt>
                <c:pt idx="142">
                  <c:v>1.5103449</c:v>
                </c:pt>
                <c:pt idx="143">
                  <c:v>1.5331215</c:v>
                </c:pt>
                <c:pt idx="144">
                  <c:v>1.5548341999999999</c:v>
                </c:pt>
                <c:pt idx="145">
                  <c:v>1.5548341999999999</c:v>
                </c:pt>
                <c:pt idx="146">
                  <c:v>1.9070031999999999</c:v>
                </c:pt>
                <c:pt idx="147">
                  <c:v>2.1183765000000001</c:v>
                </c:pt>
                <c:pt idx="148">
                  <c:v>2.2791388000000001</c:v>
                </c:pt>
                <c:pt idx="149">
                  <c:v>2.4159830000000002</c:v>
                </c:pt>
                <c:pt idx="150">
                  <c:v>2.5368780000000002</c:v>
                </c:pt>
                <c:pt idx="151">
                  <c:v>2.6448054000000001</c:v>
                </c:pt>
                <c:pt idx="152">
                  <c:v>2.7429770000000002</c:v>
                </c:pt>
                <c:pt idx="153">
                  <c:v>2.8346488000000001</c:v>
                </c:pt>
                <c:pt idx="154">
                  <c:v>2.921411</c:v>
                </c:pt>
                <c:pt idx="155">
                  <c:v>3.0038870000000002</c:v>
                </c:pt>
                <c:pt idx="156">
                  <c:v>3.0828505000000002</c:v>
                </c:pt>
                <c:pt idx="157">
                  <c:v>3.1588704999999999</c:v>
                </c:pt>
                <c:pt idx="158">
                  <c:v>3.2323884999999999</c:v>
                </c:pt>
                <c:pt idx="159">
                  <c:v>3.3038699999999999</c:v>
                </c:pt>
                <c:pt idx="160">
                  <c:v>3.3738036</c:v>
                </c:pt>
                <c:pt idx="161">
                  <c:v>3.4426646000000001</c:v>
                </c:pt>
                <c:pt idx="162">
                  <c:v>3.5104644</c:v>
                </c:pt>
                <c:pt idx="163">
                  <c:v>3.5771375000000001</c:v>
                </c:pt>
                <c:pt idx="164">
                  <c:v>3.642684</c:v>
                </c:pt>
                <c:pt idx="165">
                  <c:v>3.7071036999999998</c:v>
                </c:pt>
                <c:pt idx="166">
                  <c:v>3.7706140000000001</c:v>
                </c:pt>
                <c:pt idx="167">
                  <c:v>3.8331628000000002</c:v>
                </c:pt>
                <c:pt idx="168">
                  <c:v>3.8946947999999999</c:v>
                </c:pt>
                <c:pt idx="169">
                  <c:v>3.9552100000000001</c:v>
                </c:pt>
                <c:pt idx="170">
                  <c:v>4.0152698000000004</c:v>
                </c:pt>
                <c:pt idx="171">
                  <c:v>4.0747770000000001</c:v>
                </c:pt>
                <c:pt idx="172">
                  <c:v>4.1335835000000003</c:v>
                </c:pt>
                <c:pt idx="173">
                  <c:v>4.1916880000000001</c:v>
                </c:pt>
                <c:pt idx="174">
                  <c:v>4.2490915999999999</c:v>
                </c:pt>
                <c:pt idx="175">
                  <c:v>4.3057939999999997</c:v>
                </c:pt>
                <c:pt idx="176">
                  <c:v>4.3617939999999997</c:v>
                </c:pt>
                <c:pt idx="177">
                  <c:v>4.4170933000000003</c:v>
                </c:pt>
                <c:pt idx="178">
                  <c:v>4.4719879999999996</c:v>
                </c:pt>
                <c:pt idx="179">
                  <c:v>4.5263739999999997</c:v>
                </c:pt>
                <c:pt idx="180">
                  <c:v>4.5801515999999998</c:v>
                </c:pt>
                <c:pt idx="181">
                  <c:v>4.6333213000000004</c:v>
                </c:pt>
                <c:pt idx="182">
                  <c:v>4.6858829999999996</c:v>
                </c:pt>
                <c:pt idx="183">
                  <c:v>4.7378369999999999</c:v>
                </c:pt>
                <c:pt idx="184">
                  <c:v>4.7891826999999996</c:v>
                </c:pt>
                <c:pt idx="185">
                  <c:v>4.8402877000000002</c:v>
                </c:pt>
                <c:pt idx="186">
                  <c:v>4.8909883000000001</c:v>
                </c:pt>
                <c:pt idx="187">
                  <c:v>4.9412010000000004</c:v>
                </c:pt>
                <c:pt idx="188">
                  <c:v>4.990926</c:v>
                </c:pt>
                <c:pt idx="189">
                  <c:v>5.0401626000000004</c:v>
                </c:pt>
                <c:pt idx="190">
                  <c:v>5.0889110000000004</c:v>
                </c:pt>
                <c:pt idx="191">
                  <c:v>5.1371716999999997</c:v>
                </c:pt>
                <c:pt idx="192">
                  <c:v>5.1851479999999999</c:v>
                </c:pt>
                <c:pt idx="193">
                  <c:v>5.2327256000000002</c:v>
                </c:pt>
                <c:pt idx="194">
                  <c:v>5.2798759999999998</c:v>
                </c:pt>
                <c:pt idx="195">
                  <c:v>5.3266</c:v>
                </c:pt>
                <c:pt idx="196">
                  <c:v>5.3728959999999999</c:v>
                </c:pt>
                <c:pt idx="197">
                  <c:v>5.4187655000000001</c:v>
                </c:pt>
                <c:pt idx="198">
                  <c:v>5.464207</c:v>
                </c:pt>
                <c:pt idx="199">
                  <c:v>5.5093839999999998</c:v>
                </c:pt>
                <c:pt idx="200">
                  <c:v>5.5541897000000002</c:v>
                </c:pt>
                <c:pt idx="201">
                  <c:v>5.5986130000000003</c:v>
                </c:pt>
                <c:pt idx="202">
                  <c:v>5.6426530000000001</c:v>
                </c:pt>
                <c:pt idx="203">
                  <c:v>5.6863109999999999</c:v>
                </c:pt>
                <c:pt idx="204">
                  <c:v>5.7295856000000001</c:v>
                </c:pt>
                <c:pt idx="205">
                  <c:v>5.7724780000000004</c:v>
                </c:pt>
                <c:pt idx="206">
                  <c:v>5.8150696999999996</c:v>
                </c:pt>
                <c:pt idx="207">
                  <c:v>5.8573130000000004</c:v>
                </c:pt>
                <c:pt idx="208">
                  <c:v>5.8992110000000002</c:v>
                </c:pt>
                <c:pt idx="209">
                  <c:v>5.9407681999999999</c:v>
                </c:pt>
                <c:pt idx="210">
                  <c:v>5.9819889999999996</c:v>
                </c:pt>
                <c:pt idx="211">
                  <c:v>6.0228770000000003</c:v>
                </c:pt>
                <c:pt idx="212">
                  <c:v>6.0634375</c:v>
                </c:pt>
                <c:pt idx="213">
                  <c:v>6.1036735000000002</c:v>
                </c:pt>
                <c:pt idx="214">
                  <c:v>6.1435899999999997</c:v>
                </c:pt>
                <c:pt idx="215">
                  <c:v>6.1831909999999999</c:v>
                </c:pt>
                <c:pt idx="216">
                  <c:v>6.2224803</c:v>
                </c:pt>
                <c:pt idx="217">
                  <c:v>6.2614627</c:v>
                </c:pt>
                <c:pt idx="218">
                  <c:v>6.3001420000000001</c:v>
                </c:pt>
                <c:pt idx="219">
                  <c:v>6.3385249999999997</c:v>
                </c:pt>
                <c:pt idx="220">
                  <c:v>6.376627</c:v>
                </c:pt>
                <c:pt idx="221">
                  <c:v>6.4144430000000003</c:v>
                </c:pt>
                <c:pt idx="222">
                  <c:v>6.4519770000000003</c:v>
                </c:pt>
                <c:pt idx="223">
                  <c:v>6.4892329999999996</c:v>
                </c:pt>
                <c:pt idx="224">
                  <c:v>6.5262159999999998</c:v>
                </c:pt>
                <c:pt idx="225">
                  <c:v>6.5629305999999996</c:v>
                </c:pt>
                <c:pt idx="226">
                  <c:v>6.5993810000000002</c:v>
                </c:pt>
                <c:pt idx="227">
                  <c:v>6.6355719999999998</c:v>
                </c:pt>
                <c:pt idx="228">
                  <c:v>6.6715080000000002</c:v>
                </c:pt>
                <c:pt idx="229">
                  <c:v>6.7071934000000004</c:v>
                </c:pt>
                <c:pt idx="230">
                  <c:v>6.7426329999999997</c:v>
                </c:pt>
                <c:pt idx="231">
                  <c:v>6.7778305999999997</c:v>
                </c:pt>
                <c:pt idx="232">
                  <c:v>6.8127909999999998</c:v>
                </c:pt>
                <c:pt idx="233">
                  <c:v>6.8474969999999997</c:v>
                </c:pt>
                <c:pt idx="234">
                  <c:v>6.8818970000000004</c:v>
                </c:pt>
                <c:pt idx="235">
                  <c:v>6.9160532999999997</c:v>
                </c:pt>
                <c:pt idx="236">
                  <c:v>6.9499690000000003</c:v>
                </c:pt>
                <c:pt idx="237">
                  <c:v>6.9836473000000003</c:v>
                </c:pt>
                <c:pt idx="238">
                  <c:v>7.0170912999999997</c:v>
                </c:pt>
                <c:pt idx="239">
                  <c:v>7.0503039999999997</c:v>
                </c:pt>
                <c:pt idx="240">
                  <c:v>7.0832889999999997</c:v>
                </c:pt>
                <c:pt idx="241">
                  <c:v>7.1160493000000002</c:v>
                </c:pt>
                <c:pt idx="242">
                  <c:v>7.1485880000000002</c:v>
                </c:pt>
                <c:pt idx="243">
                  <c:v>7.1809086999999998</c:v>
                </c:pt>
                <c:pt idx="244">
                  <c:v>7.2130136</c:v>
                </c:pt>
                <c:pt idx="245">
                  <c:v>7.2449063999999996</c:v>
                </c:pt>
                <c:pt idx="246">
                  <c:v>7.2765909999999998</c:v>
                </c:pt>
                <c:pt idx="247">
                  <c:v>7.3080689999999997</c:v>
                </c:pt>
                <c:pt idx="248">
                  <c:v>7.3393445000000002</c:v>
                </c:pt>
                <c:pt idx="249">
                  <c:v>7.3704210000000003</c:v>
                </c:pt>
                <c:pt idx="250">
                  <c:v>7.4013014000000004</c:v>
                </c:pt>
                <c:pt idx="251">
                  <c:v>7.4319882000000002</c:v>
                </c:pt>
                <c:pt idx="252">
                  <c:v>7.4624853</c:v>
                </c:pt>
                <c:pt idx="253">
                  <c:v>7.4927539999999997</c:v>
                </c:pt>
                <c:pt idx="254">
                  <c:v>7.5227849999999998</c:v>
                </c:pt>
                <c:pt idx="255">
                  <c:v>7.5526210000000003</c:v>
                </c:pt>
                <c:pt idx="256">
                  <c:v>7.5822649999999996</c:v>
                </c:pt>
                <c:pt idx="257">
                  <c:v>7.6117186999999999</c:v>
                </c:pt>
                <c:pt idx="258">
                  <c:v>7.6409849999999997</c:v>
                </c:pt>
                <c:pt idx="259">
                  <c:v>7.6700660000000003</c:v>
                </c:pt>
                <c:pt idx="260">
                  <c:v>7.6989646</c:v>
                </c:pt>
                <c:pt idx="261">
                  <c:v>7.7276829999999999</c:v>
                </c:pt>
                <c:pt idx="262">
                  <c:v>7.7562230000000003</c:v>
                </c:pt>
                <c:pt idx="263">
                  <c:v>7.7845883000000002</c:v>
                </c:pt>
                <c:pt idx="264">
                  <c:v>7.8127810000000002</c:v>
                </c:pt>
                <c:pt idx="265">
                  <c:v>7.840802</c:v>
                </c:pt>
                <c:pt idx="266">
                  <c:v>7.8686556999999997</c:v>
                </c:pt>
                <c:pt idx="267">
                  <c:v>7.8963429999999999</c:v>
                </c:pt>
                <c:pt idx="268">
                  <c:v>7.9238676999999997</c:v>
                </c:pt>
                <c:pt idx="269">
                  <c:v>7.9512314999999996</c:v>
                </c:pt>
                <c:pt idx="270">
                  <c:v>7.9784364999999999</c:v>
                </c:pt>
                <c:pt idx="271">
                  <c:v>8.0054859999999994</c:v>
                </c:pt>
                <c:pt idx="272">
                  <c:v>8.0323810000000009</c:v>
                </c:pt>
                <c:pt idx="273">
                  <c:v>8.0590689999999991</c:v>
                </c:pt>
                <c:pt idx="274">
                  <c:v>8.0855730000000001</c:v>
                </c:pt>
                <c:pt idx="275">
                  <c:v>8.1119190000000003</c:v>
                </c:pt>
                <c:pt idx="276">
                  <c:v>8.1381080000000008</c:v>
                </c:pt>
                <c:pt idx="277">
                  <c:v>8.1641429999999993</c:v>
                </c:pt>
                <c:pt idx="278">
                  <c:v>8.1900220000000008</c:v>
                </c:pt>
                <c:pt idx="279">
                  <c:v>8.2157520000000002</c:v>
                </c:pt>
                <c:pt idx="280">
                  <c:v>8.2413310000000006</c:v>
                </c:pt>
                <c:pt idx="281">
                  <c:v>8.2667619999999999</c:v>
                </c:pt>
                <c:pt idx="282">
                  <c:v>8.2920475000000007</c:v>
                </c:pt>
                <c:pt idx="283">
                  <c:v>8.3171879999999998</c:v>
                </c:pt>
                <c:pt idx="284">
                  <c:v>8.3421869999999991</c:v>
                </c:pt>
                <c:pt idx="285">
                  <c:v>8.3670449999999992</c:v>
                </c:pt>
                <c:pt idx="286">
                  <c:v>8.3917649999999995</c:v>
                </c:pt>
                <c:pt idx="287">
                  <c:v>8.4163475000000005</c:v>
                </c:pt>
                <c:pt idx="288">
                  <c:v>8.4407960000000006</c:v>
                </c:pt>
                <c:pt idx="289">
                  <c:v>8.4651099999999992</c:v>
                </c:pt>
                <c:pt idx="290">
                  <c:v>8.489293</c:v>
                </c:pt>
                <c:pt idx="291">
                  <c:v>8.5133469999999996</c:v>
                </c:pt>
                <c:pt idx="292">
                  <c:v>8.5372730000000008</c:v>
                </c:pt>
                <c:pt idx="293">
                  <c:v>8.5610079999999993</c:v>
                </c:pt>
                <c:pt idx="294">
                  <c:v>8.5846060000000008</c:v>
                </c:pt>
                <c:pt idx="295">
                  <c:v>8.6080699999999997</c:v>
                </c:pt>
                <c:pt idx="296">
                  <c:v>8.6314030000000006</c:v>
                </c:pt>
                <c:pt idx="297">
                  <c:v>8.6546059999999994</c:v>
                </c:pt>
                <c:pt idx="298">
                  <c:v>8.6776800000000005</c:v>
                </c:pt>
                <c:pt idx="299">
                  <c:v>8.7006270000000008</c:v>
                </c:pt>
                <c:pt idx="300">
                  <c:v>8.7234479999999994</c:v>
                </c:pt>
                <c:pt idx="301">
                  <c:v>8.746143</c:v>
                </c:pt>
                <c:pt idx="302">
                  <c:v>8.7687150000000003</c:v>
                </c:pt>
                <c:pt idx="303">
                  <c:v>8.7911649999999995</c:v>
                </c:pt>
                <c:pt idx="304">
                  <c:v>8.8134949999999996</c:v>
                </c:pt>
                <c:pt idx="305">
                  <c:v>8.8357050000000008</c:v>
                </c:pt>
                <c:pt idx="306">
                  <c:v>8.8577969999999997</c:v>
                </c:pt>
                <c:pt idx="307">
                  <c:v>8.8797720000000009</c:v>
                </c:pt>
                <c:pt idx="308">
                  <c:v>8.9016310000000001</c:v>
                </c:pt>
                <c:pt idx="309">
                  <c:v>8.9233779999999996</c:v>
                </c:pt>
                <c:pt idx="310">
                  <c:v>8.9450099999999999</c:v>
                </c:pt>
                <c:pt idx="311">
                  <c:v>8.9665330000000001</c:v>
                </c:pt>
                <c:pt idx="312">
                  <c:v>8.9879379999999998</c:v>
                </c:pt>
                <c:pt idx="313">
                  <c:v>9.0091979999999996</c:v>
                </c:pt>
                <c:pt idx="314">
                  <c:v>9.0303450000000005</c:v>
                </c:pt>
                <c:pt idx="315">
                  <c:v>9.0513790000000007</c:v>
                </c:pt>
                <c:pt idx="316">
                  <c:v>9.0723020000000005</c:v>
                </c:pt>
                <c:pt idx="317">
                  <c:v>9.0931149999999992</c:v>
                </c:pt>
                <c:pt idx="318">
                  <c:v>9.1138180000000002</c:v>
                </c:pt>
                <c:pt idx="319">
                  <c:v>9.1344130000000003</c:v>
                </c:pt>
                <c:pt idx="320">
                  <c:v>9.1549010000000006</c:v>
                </c:pt>
                <c:pt idx="321">
                  <c:v>9.1752824999999998</c:v>
                </c:pt>
                <c:pt idx="322">
                  <c:v>9.1955589999999994</c:v>
                </c:pt>
                <c:pt idx="323">
                  <c:v>9.2157319999999991</c:v>
                </c:pt>
                <c:pt idx="324">
                  <c:v>9.2358010000000004</c:v>
                </c:pt>
                <c:pt idx="325">
                  <c:v>9.2557679999999998</c:v>
                </c:pt>
                <c:pt idx="326">
                  <c:v>9.2756349999999994</c:v>
                </c:pt>
                <c:pt idx="327">
                  <c:v>9.295401</c:v>
                </c:pt>
                <c:pt idx="328">
                  <c:v>9.3150680000000001</c:v>
                </c:pt>
                <c:pt idx="329">
                  <c:v>9.3346389999999992</c:v>
                </c:pt>
                <c:pt idx="330">
                  <c:v>9.3541109999999996</c:v>
                </c:pt>
                <c:pt idx="331">
                  <c:v>9.373488</c:v>
                </c:pt>
                <c:pt idx="332">
                  <c:v>9.3927639999999997</c:v>
                </c:pt>
                <c:pt idx="333">
                  <c:v>9.4119320000000002</c:v>
                </c:pt>
                <c:pt idx="334">
                  <c:v>9.4310050000000007</c:v>
                </c:pt>
                <c:pt idx="335">
                  <c:v>9.4499820000000003</c:v>
                </c:pt>
                <c:pt idx="336">
                  <c:v>9.4688634999999994</c:v>
                </c:pt>
                <c:pt idx="337">
                  <c:v>9.4876520000000006</c:v>
                </c:pt>
                <c:pt idx="338">
                  <c:v>9.5063469999999999</c:v>
                </c:pt>
                <c:pt idx="339">
                  <c:v>9.5249489999999994</c:v>
                </c:pt>
                <c:pt idx="340">
                  <c:v>9.5434599999999996</c:v>
                </c:pt>
                <c:pt idx="341">
                  <c:v>9.5618789999999994</c:v>
                </c:pt>
                <c:pt idx="342">
                  <c:v>9.5802080000000007</c:v>
                </c:pt>
                <c:pt idx="343">
                  <c:v>9.5984479999999994</c:v>
                </c:pt>
                <c:pt idx="344">
                  <c:v>9.6165979999999998</c:v>
                </c:pt>
                <c:pt idx="345">
                  <c:v>9.6346609999999995</c:v>
                </c:pt>
                <c:pt idx="346">
                  <c:v>9.6526350000000001</c:v>
                </c:pt>
                <c:pt idx="347">
                  <c:v>9.6705229999999993</c:v>
                </c:pt>
                <c:pt idx="348">
                  <c:v>9.6883239999999997</c:v>
                </c:pt>
                <c:pt idx="349">
                  <c:v>9.7060390000000005</c:v>
                </c:pt>
                <c:pt idx="350">
                  <c:v>9.7236689999999992</c:v>
                </c:pt>
                <c:pt idx="351">
                  <c:v>9.7412150000000004</c:v>
                </c:pt>
                <c:pt idx="352">
                  <c:v>9.7586759999999995</c:v>
                </c:pt>
                <c:pt idx="353">
                  <c:v>9.776052</c:v>
                </c:pt>
                <c:pt idx="354">
                  <c:v>9.7933459999999997</c:v>
                </c:pt>
                <c:pt idx="355">
                  <c:v>9.8105580000000003</c:v>
                </c:pt>
                <c:pt idx="356">
                  <c:v>9.8276880000000002</c:v>
                </c:pt>
                <c:pt idx="357">
                  <c:v>9.8447359999999993</c:v>
                </c:pt>
                <c:pt idx="358">
                  <c:v>9.8617039999999996</c:v>
                </c:pt>
                <c:pt idx="359">
                  <c:v>9.8785919999999994</c:v>
                </c:pt>
                <c:pt idx="360">
                  <c:v>9.8953980000000001</c:v>
                </c:pt>
                <c:pt idx="361">
                  <c:v>9.9121269999999999</c:v>
                </c:pt>
                <c:pt idx="362">
                  <c:v>9.9287759999999992</c:v>
                </c:pt>
                <c:pt idx="363">
                  <c:v>9.9453469999999999</c:v>
                </c:pt>
                <c:pt idx="364">
                  <c:v>9.9618409999999997</c:v>
                </c:pt>
                <c:pt idx="365">
                  <c:v>9.978256</c:v>
                </c:pt>
                <c:pt idx="366">
                  <c:v>9.9945950000000003</c:v>
                </c:pt>
                <c:pt idx="367">
                  <c:v>10.010858000000001</c:v>
                </c:pt>
                <c:pt idx="368">
                  <c:v>10.027043000000001</c:v>
                </c:pt>
                <c:pt idx="369">
                  <c:v>10.043153999999999</c:v>
                </c:pt>
                <c:pt idx="370">
                  <c:v>10.059189999999999</c:v>
                </c:pt>
                <c:pt idx="371">
                  <c:v>10.075150499999999</c:v>
                </c:pt>
                <c:pt idx="372">
                  <c:v>10.091037</c:v>
                </c:pt>
                <c:pt idx="373">
                  <c:v>10.106849</c:v>
                </c:pt>
                <c:pt idx="374">
                  <c:v>10.122586999999999</c:v>
                </c:pt>
                <c:pt idx="375">
                  <c:v>10.138252</c:v>
                </c:pt>
                <c:pt idx="376">
                  <c:v>10.153845</c:v>
                </c:pt>
                <c:pt idx="377">
                  <c:v>10.169364</c:v>
                </c:pt>
                <c:pt idx="378">
                  <c:v>10.184812000000001</c:v>
                </c:pt>
                <c:pt idx="379">
                  <c:v>10.200187</c:v>
                </c:pt>
                <c:pt idx="380">
                  <c:v>10.215490000000001</c:v>
                </c:pt>
                <c:pt idx="381">
                  <c:v>10.230722</c:v>
                </c:pt>
                <c:pt idx="382">
                  <c:v>10.245884</c:v>
                </c:pt>
                <c:pt idx="383">
                  <c:v>10.260973999999999</c:v>
                </c:pt>
                <c:pt idx="384">
                  <c:v>10.275994000000001</c:v>
                </c:pt>
                <c:pt idx="385">
                  <c:v>10.290944</c:v>
                </c:pt>
                <c:pt idx="386">
                  <c:v>10.305823999999999</c:v>
                </c:pt>
                <c:pt idx="387">
                  <c:v>10.320634</c:v>
                </c:pt>
                <c:pt idx="388">
                  <c:v>10.335375000000001</c:v>
                </c:pt>
                <c:pt idx="389">
                  <c:v>10.350046000000001</c:v>
                </c:pt>
                <c:pt idx="390">
                  <c:v>10.364649</c:v>
                </c:pt>
                <c:pt idx="391">
                  <c:v>10.379185</c:v>
                </c:pt>
                <c:pt idx="392">
                  <c:v>10.393686000000001</c:v>
                </c:pt>
                <c:pt idx="393">
                  <c:v>10.408122000000001</c:v>
                </c:pt>
                <c:pt idx="394">
                  <c:v>10.422495</c:v>
                </c:pt>
                <c:pt idx="395">
                  <c:v>10.436804</c:v>
                </c:pt>
                <c:pt idx="396">
                  <c:v>10.451048999999999</c:v>
                </c:pt>
                <c:pt idx="397">
                  <c:v>10.465230999999999</c:v>
                </c:pt>
                <c:pt idx="398">
                  <c:v>10.47935</c:v>
                </c:pt>
                <c:pt idx="399">
                  <c:v>10.493406999999999</c:v>
                </c:pt>
                <c:pt idx="400">
                  <c:v>10.507402000000001</c:v>
                </c:pt>
                <c:pt idx="401">
                  <c:v>10.521337000000001</c:v>
                </c:pt>
                <c:pt idx="402">
                  <c:v>10.535209</c:v>
                </c:pt>
                <c:pt idx="403">
                  <c:v>10.549020000000001</c:v>
                </c:pt>
                <c:pt idx="404">
                  <c:v>10.562771</c:v>
                </c:pt>
                <c:pt idx="405">
                  <c:v>10.576461</c:v>
                </c:pt>
                <c:pt idx="406">
                  <c:v>10.590092</c:v>
                </c:pt>
                <c:pt idx="407">
                  <c:v>10.603662</c:v>
                </c:pt>
                <c:pt idx="408">
                  <c:v>10.617172999999999</c:v>
                </c:pt>
                <c:pt idx="409">
                  <c:v>10.630625999999999</c:v>
                </c:pt>
                <c:pt idx="410">
                  <c:v>10.644019</c:v>
                </c:pt>
                <c:pt idx="411">
                  <c:v>10.657353000000001</c:v>
                </c:pt>
                <c:pt idx="412">
                  <c:v>10.670629999999999</c:v>
                </c:pt>
                <c:pt idx="413">
                  <c:v>10.683849</c:v>
                </c:pt>
                <c:pt idx="414">
                  <c:v>10.697010000000001</c:v>
                </c:pt>
                <c:pt idx="415">
                  <c:v>10.7101145</c:v>
                </c:pt>
                <c:pt idx="416">
                  <c:v>10.723160999999999</c:v>
                </c:pt>
                <c:pt idx="417">
                  <c:v>10.736151</c:v>
                </c:pt>
                <c:pt idx="418">
                  <c:v>10.749083499999999</c:v>
                </c:pt>
                <c:pt idx="419">
                  <c:v>10.76196</c:v>
                </c:pt>
                <c:pt idx="420">
                  <c:v>10.77478</c:v>
                </c:pt>
                <c:pt idx="421">
                  <c:v>10.787545</c:v>
                </c:pt>
                <c:pt idx="422">
                  <c:v>10.800254000000001</c:v>
                </c:pt>
                <c:pt idx="423">
                  <c:v>10.812906999999999</c:v>
                </c:pt>
                <c:pt idx="424">
                  <c:v>10.825506000000001</c:v>
                </c:pt>
                <c:pt idx="425">
                  <c:v>10.838049</c:v>
                </c:pt>
                <c:pt idx="426">
                  <c:v>10.850536999999999</c:v>
                </c:pt>
                <c:pt idx="427">
                  <c:v>10.862971</c:v>
                </c:pt>
                <c:pt idx="428">
                  <c:v>10.875351</c:v>
                </c:pt>
                <c:pt idx="429">
                  <c:v>10.887675</c:v>
                </c:pt>
                <c:pt idx="430">
                  <c:v>10.899946999999999</c:v>
                </c:pt>
                <c:pt idx="431">
                  <c:v>10.912179999999999</c:v>
                </c:pt>
                <c:pt idx="432">
                  <c:v>10.924375</c:v>
                </c:pt>
                <c:pt idx="433">
                  <c:v>10.936519000000001</c:v>
                </c:pt>
                <c:pt idx="434">
                  <c:v>10.948612000000001</c:v>
                </c:pt>
                <c:pt idx="435">
                  <c:v>10.960654999999999</c:v>
                </c:pt>
                <c:pt idx="436">
                  <c:v>10.972649000000001</c:v>
                </c:pt>
                <c:pt idx="437">
                  <c:v>10.984593</c:v>
                </c:pt>
                <c:pt idx="438">
                  <c:v>10.996489</c:v>
                </c:pt>
                <c:pt idx="439">
                  <c:v>11.008334</c:v>
                </c:pt>
                <c:pt idx="440">
                  <c:v>11.020132</c:v>
                </c:pt>
                <c:pt idx="441">
                  <c:v>11.031881</c:v>
                </c:pt>
                <c:pt idx="442">
                  <c:v>11.043582000000001</c:v>
                </c:pt>
                <c:pt idx="443">
                  <c:v>11.055235</c:v>
                </c:pt>
                <c:pt idx="444">
                  <c:v>11.066839999999999</c:v>
                </c:pt>
                <c:pt idx="445">
                  <c:v>11.078398</c:v>
                </c:pt>
                <c:pt idx="446">
                  <c:v>11.089909</c:v>
                </c:pt>
                <c:pt idx="447">
                  <c:v>11.101373000000001</c:v>
                </c:pt>
                <c:pt idx="448">
                  <c:v>11.11279</c:v>
                </c:pt>
                <c:pt idx="449">
                  <c:v>11.124161000000001</c:v>
                </c:pt>
                <c:pt idx="450">
                  <c:v>11.135486</c:v>
                </c:pt>
                <c:pt idx="451">
                  <c:v>11.146765</c:v>
                </c:pt>
                <c:pt idx="452">
                  <c:v>11.157997999999999</c:v>
                </c:pt>
                <c:pt idx="453">
                  <c:v>11.169186</c:v>
                </c:pt>
                <c:pt idx="454">
                  <c:v>11.180327999999999</c:v>
                </c:pt>
                <c:pt idx="455">
                  <c:v>11.191425000000001</c:v>
                </c:pt>
                <c:pt idx="456">
                  <c:v>11.202477999999999</c:v>
                </c:pt>
                <c:pt idx="457">
                  <c:v>11.213486</c:v>
                </c:pt>
                <c:pt idx="458">
                  <c:v>11.224449999999999</c:v>
                </c:pt>
                <c:pt idx="459">
                  <c:v>11.23537</c:v>
                </c:pt>
                <c:pt idx="460">
                  <c:v>11.246244000000001</c:v>
                </c:pt>
                <c:pt idx="461">
                  <c:v>11.257076</c:v>
                </c:pt>
                <c:pt idx="462">
                  <c:v>11.267865</c:v>
                </c:pt>
                <c:pt idx="463">
                  <c:v>11.278608999999999</c:v>
                </c:pt>
                <c:pt idx="464">
                  <c:v>11.289311</c:v>
                </c:pt>
                <c:pt idx="465">
                  <c:v>11.29997</c:v>
                </c:pt>
                <c:pt idx="466">
                  <c:v>11.310586000000001</c:v>
                </c:pt>
                <c:pt idx="467">
                  <c:v>11.321159</c:v>
                </c:pt>
                <c:pt idx="468">
                  <c:v>11.33169</c:v>
                </c:pt>
                <c:pt idx="469">
                  <c:v>11.342178000000001</c:v>
                </c:pt>
                <c:pt idx="470">
                  <c:v>11.352625</c:v>
                </c:pt>
                <c:pt idx="471">
                  <c:v>11.363047</c:v>
                </c:pt>
                <c:pt idx="472">
                  <c:v>11.373429</c:v>
                </c:pt>
                <c:pt idx="473">
                  <c:v>11.383770999999999</c:v>
                </c:pt>
                <c:pt idx="474">
                  <c:v>11.394073499999999</c:v>
                </c:pt>
                <c:pt idx="475">
                  <c:v>11.404336000000001</c:v>
                </c:pt>
                <c:pt idx="476">
                  <c:v>11.414559000000001</c:v>
                </c:pt>
                <c:pt idx="477">
                  <c:v>11.424745</c:v>
                </c:pt>
                <c:pt idx="478">
                  <c:v>11.434889999999999</c:v>
                </c:pt>
                <c:pt idx="479">
                  <c:v>11.444998</c:v>
                </c:pt>
                <c:pt idx="480">
                  <c:v>11.455067</c:v>
                </c:pt>
                <c:pt idx="481">
                  <c:v>11.465097</c:v>
                </c:pt>
                <c:pt idx="482">
                  <c:v>11.47509</c:v>
                </c:pt>
                <c:pt idx="483">
                  <c:v>11.485045</c:v>
                </c:pt>
                <c:pt idx="484">
                  <c:v>11.494963</c:v>
                </c:pt>
                <c:pt idx="485">
                  <c:v>11.504842999999999</c:v>
                </c:pt>
                <c:pt idx="486">
                  <c:v>11.514685999999999</c:v>
                </c:pt>
                <c:pt idx="487">
                  <c:v>11.524492</c:v>
                </c:pt>
                <c:pt idx="488">
                  <c:v>11.534262</c:v>
                </c:pt>
                <c:pt idx="489">
                  <c:v>11.543995000000001</c:v>
                </c:pt>
                <c:pt idx="490">
                  <c:v>11.553692</c:v>
                </c:pt>
                <c:pt idx="491">
                  <c:v>11.563352</c:v>
                </c:pt>
                <c:pt idx="492">
                  <c:v>11.572976000000001</c:v>
                </c:pt>
                <c:pt idx="493">
                  <c:v>11.582565000000001</c:v>
                </c:pt>
                <c:pt idx="494">
                  <c:v>11.592117999999999</c:v>
                </c:pt>
                <c:pt idx="495">
                  <c:v>11.601637</c:v>
                </c:pt>
                <c:pt idx="496">
                  <c:v>11.611119</c:v>
                </c:pt>
                <c:pt idx="497">
                  <c:v>11.620566</c:v>
                </c:pt>
                <c:pt idx="498">
                  <c:v>11.629979000000001</c:v>
                </c:pt>
                <c:pt idx="499">
                  <c:v>11.639358</c:v>
                </c:pt>
                <c:pt idx="500">
                  <c:v>11.648701000000001</c:v>
                </c:pt>
                <c:pt idx="501">
                  <c:v>11.6580105</c:v>
                </c:pt>
                <c:pt idx="502">
                  <c:v>11.667286000000001</c:v>
                </c:pt>
                <c:pt idx="503">
                  <c:v>11.676526000000001</c:v>
                </c:pt>
                <c:pt idx="504">
                  <c:v>11.685734</c:v>
                </c:pt>
                <c:pt idx="505">
                  <c:v>11.694907000000001</c:v>
                </c:pt>
                <c:pt idx="506">
                  <c:v>11.704046999999999</c:v>
                </c:pt>
                <c:pt idx="507">
                  <c:v>11.713153999999999</c:v>
                </c:pt>
                <c:pt idx="508">
                  <c:v>11.722227</c:v>
                </c:pt>
                <c:pt idx="509">
                  <c:v>11.731268</c:v>
                </c:pt>
                <c:pt idx="510">
                  <c:v>11.731268</c:v>
                </c:pt>
                <c:pt idx="511">
                  <c:v>13.6989</c:v>
                </c:pt>
                <c:pt idx="512">
                  <c:v>14.499326999999999</c:v>
                </c:pt>
                <c:pt idx="513">
                  <c:v>14.912419</c:v>
                </c:pt>
                <c:pt idx="514">
                  <c:v>15.159037</c:v>
                </c:pt>
                <c:pt idx="515">
                  <c:v>15.321078</c:v>
                </c:pt>
                <c:pt idx="516">
                  <c:v>15.432154000000001</c:v>
                </c:pt>
                <c:pt idx="517">
                  <c:v>15.5126095</c:v>
                </c:pt>
                <c:pt idx="518">
                  <c:v>15.574104</c:v>
                </c:pt>
                <c:pt idx="519">
                  <c:v>15.622445000000001</c:v>
                </c:pt>
                <c:pt idx="520">
                  <c:v>15.660824</c:v>
                </c:pt>
                <c:pt idx="521">
                  <c:v>15.691837</c:v>
                </c:pt>
                <c:pt idx="522">
                  <c:v>15.717667</c:v>
                </c:pt>
                <c:pt idx="523">
                  <c:v>15.7393465</c:v>
                </c:pt>
                <c:pt idx="524">
                  <c:v>15.7579365</c:v>
                </c:pt>
                <c:pt idx="525">
                  <c:v>15.773982999999999</c:v>
                </c:pt>
                <c:pt idx="526">
                  <c:v>15.787894</c:v>
                </c:pt>
                <c:pt idx="527">
                  <c:v>15.800122</c:v>
                </c:pt>
                <c:pt idx="528">
                  <c:v>15.810988999999999</c:v>
                </c:pt>
                <c:pt idx="529">
                  <c:v>15.820719</c:v>
                </c:pt>
                <c:pt idx="530">
                  <c:v>15.829148</c:v>
                </c:pt>
                <c:pt idx="531">
                  <c:v>15.836565</c:v>
                </c:pt>
                <c:pt idx="532">
                  <c:v>15.843128999999999</c:v>
                </c:pt>
                <c:pt idx="533">
                  <c:v>15.849043</c:v>
                </c:pt>
                <c:pt idx="534">
                  <c:v>15.854449000000001</c:v>
                </c:pt>
                <c:pt idx="535">
                  <c:v>15.859361</c:v>
                </c:pt>
                <c:pt idx="536">
                  <c:v>15.863699</c:v>
                </c:pt>
                <c:pt idx="537">
                  <c:v>15.867627000000001</c:v>
                </c:pt>
                <c:pt idx="538">
                  <c:v>15.871217</c:v>
                </c:pt>
                <c:pt idx="539">
                  <c:v>15.87454</c:v>
                </c:pt>
                <c:pt idx="540">
                  <c:v>15.877668</c:v>
                </c:pt>
                <c:pt idx="541">
                  <c:v>15.880822</c:v>
                </c:pt>
                <c:pt idx="542">
                  <c:v>15.883825999999999</c:v>
                </c:pt>
                <c:pt idx="543">
                  <c:v>15.886654999999999</c:v>
                </c:pt>
                <c:pt idx="544">
                  <c:v>15.889307000000001</c:v>
                </c:pt>
                <c:pt idx="545">
                  <c:v>15.891785</c:v>
                </c:pt>
                <c:pt idx="546">
                  <c:v>15.894140999999999</c:v>
                </c:pt>
                <c:pt idx="547">
                  <c:v>15.896356000000001</c:v>
                </c:pt>
                <c:pt idx="548">
                  <c:v>15.898417</c:v>
                </c:pt>
                <c:pt idx="549">
                  <c:v>15.900327000000001</c:v>
                </c:pt>
                <c:pt idx="550">
                  <c:v>15.902082999999999</c:v>
                </c:pt>
                <c:pt idx="551">
                  <c:v>15.903781</c:v>
                </c:pt>
                <c:pt idx="552">
                  <c:v>15.905392000000001</c:v>
                </c:pt>
                <c:pt idx="553">
                  <c:v>15.906891</c:v>
                </c:pt>
                <c:pt idx="554">
                  <c:v>15.908279</c:v>
                </c:pt>
                <c:pt idx="555">
                  <c:v>15.909557</c:v>
                </c:pt>
                <c:pt idx="556">
                  <c:v>15.910799000000001</c:v>
                </c:pt>
                <c:pt idx="557">
                  <c:v>15.911991</c:v>
                </c:pt>
                <c:pt idx="558">
                  <c:v>15.913107999999999</c:v>
                </c:pt>
                <c:pt idx="559">
                  <c:v>15.914149</c:v>
                </c:pt>
                <c:pt idx="560">
                  <c:v>15.915115999999999</c:v>
                </c:pt>
                <c:pt idx="561">
                  <c:v>15.916035000000001</c:v>
                </c:pt>
                <c:pt idx="562">
                  <c:v>15.916907999999999</c:v>
                </c:pt>
                <c:pt idx="563">
                  <c:v>15.917731</c:v>
                </c:pt>
                <c:pt idx="564">
                  <c:v>15.918509500000001</c:v>
                </c:pt>
                <c:pt idx="565">
                  <c:v>15.919244000000001</c:v>
                </c:pt>
                <c:pt idx="566">
                  <c:v>15.91994</c:v>
                </c:pt>
                <c:pt idx="567">
                  <c:v>15.920601</c:v>
                </c:pt>
                <c:pt idx="568">
                  <c:v>15.92123</c:v>
                </c:pt>
                <c:pt idx="569">
                  <c:v>15.921832</c:v>
                </c:pt>
                <c:pt idx="570">
                  <c:v>15.922409999999999</c:v>
                </c:pt>
                <c:pt idx="571">
                  <c:v>15.9229555</c:v>
                </c:pt>
                <c:pt idx="572">
                  <c:v>15.92347</c:v>
                </c:pt>
                <c:pt idx="573">
                  <c:v>15.923964</c:v>
                </c:pt>
                <c:pt idx="574">
                  <c:v>15.924440000000001</c:v>
                </c:pt>
                <c:pt idx="575">
                  <c:v>15.924901999999999</c:v>
                </c:pt>
                <c:pt idx="576">
                  <c:v>15.925352</c:v>
                </c:pt>
                <c:pt idx="577">
                  <c:v>15.925794</c:v>
                </c:pt>
                <c:pt idx="578">
                  <c:v>15.9262295</c:v>
                </c:pt>
                <c:pt idx="579">
                  <c:v>15.926662</c:v>
                </c:pt>
                <c:pt idx="580">
                  <c:v>15.927095</c:v>
                </c:pt>
                <c:pt idx="581">
                  <c:v>15.927503</c:v>
                </c:pt>
                <c:pt idx="582">
                  <c:v>15.927867000000001</c:v>
                </c:pt>
                <c:pt idx="583">
                  <c:v>15.92822</c:v>
                </c:pt>
                <c:pt idx="584">
                  <c:v>15.928561999999999</c:v>
                </c:pt>
                <c:pt idx="585">
                  <c:v>15.928896</c:v>
                </c:pt>
                <c:pt idx="586">
                  <c:v>15.929221</c:v>
                </c:pt>
                <c:pt idx="587">
                  <c:v>15.929541</c:v>
                </c:pt>
                <c:pt idx="588">
                  <c:v>15.929853</c:v>
                </c:pt>
                <c:pt idx="589">
                  <c:v>15.930161999999999</c:v>
                </c:pt>
                <c:pt idx="590">
                  <c:v>15.930469</c:v>
                </c:pt>
                <c:pt idx="591">
                  <c:v>15.930762</c:v>
                </c:pt>
                <c:pt idx="592">
                  <c:v>15.931031000000001</c:v>
                </c:pt>
                <c:pt idx="593">
                  <c:v>15.931291999999999</c:v>
                </c:pt>
                <c:pt idx="594">
                  <c:v>15.931543</c:v>
                </c:pt>
                <c:pt idx="595">
                  <c:v>15.931787</c:v>
                </c:pt>
                <c:pt idx="596">
                  <c:v>15.932022999999999</c:v>
                </c:pt>
                <c:pt idx="597">
                  <c:v>15.932252</c:v>
                </c:pt>
                <c:pt idx="598">
                  <c:v>15.932473999999999</c:v>
                </c:pt>
                <c:pt idx="599">
                  <c:v>15.932689999999999</c:v>
                </c:pt>
                <c:pt idx="600">
                  <c:v>15.932899000000001</c:v>
                </c:pt>
                <c:pt idx="601">
                  <c:v>15.933102</c:v>
                </c:pt>
                <c:pt idx="602">
                  <c:v>15.933293000000001</c:v>
                </c:pt>
                <c:pt idx="603">
                  <c:v>15.933477</c:v>
                </c:pt>
                <c:pt idx="604">
                  <c:v>15.933655999999999</c:v>
                </c:pt>
                <c:pt idx="605">
                  <c:v>15.933827000000001</c:v>
                </c:pt>
                <c:pt idx="606">
                  <c:v>15.933992</c:v>
                </c:pt>
                <c:pt idx="607">
                  <c:v>15.934151999999999</c:v>
                </c:pt>
                <c:pt idx="608">
                  <c:v>15.934305</c:v>
                </c:pt>
                <c:pt idx="609">
                  <c:v>15.934453</c:v>
                </c:pt>
                <c:pt idx="610">
                  <c:v>15.934596000000001</c:v>
                </c:pt>
                <c:pt idx="611">
                  <c:v>15.934733</c:v>
                </c:pt>
                <c:pt idx="612">
                  <c:v>15.934865</c:v>
                </c:pt>
                <c:pt idx="613">
                  <c:v>15.934991</c:v>
                </c:pt>
                <c:pt idx="614">
                  <c:v>15.935112</c:v>
                </c:pt>
                <c:pt idx="615">
                  <c:v>15.935229</c:v>
                </c:pt>
                <c:pt idx="616">
                  <c:v>15.935342</c:v>
                </c:pt>
                <c:pt idx="617">
                  <c:v>15.935449999999999</c:v>
                </c:pt>
                <c:pt idx="618">
                  <c:v>15.935554</c:v>
                </c:pt>
                <c:pt idx="619">
                  <c:v>15.935654</c:v>
                </c:pt>
                <c:pt idx="620">
                  <c:v>15.935751</c:v>
                </c:pt>
                <c:pt idx="621">
                  <c:v>15.935843</c:v>
                </c:pt>
                <c:pt idx="622">
                  <c:v>15.935933</c:v>
                </c:pt>
                <c:pt idx="623">
                  <c:v>15.936019</c:v>
                </c:pt>
                <c:pt idx="624">
                  <c:v>15.936102999999999</c:v>
                </c:pt>
                <c:pt idx="625">
                  <c:v>15.936183</c:v>
                </c:pt>
                <c:pt idx="626">
                  <c:v>15.936261</c:v>
                </c:pt>
                <c:pt idx="627">
                  <c:v>15.936334</c:v>
                </c:pt>
                <c:pt idx="628">
                  <c:v>15.936404</c:v>
                </c:pt>
                <c:pt idx="629">
                  <c:v>15.936472</c:v>
                </c:pt>
                <c:pt idx="630">
                  <c:v>15.936538000000001</c:v>
                </c:pt>
                <c:pt idx="631">
                  <c:v>15.936601</c:v>
                </c:pt>
                <c:pt idx="632">
                  <c:v>15.936662</c:v>
                </c:pt>
                <c:pt idx="633">
                  <c:v>15.936719999999999</c:v>
                </c:pt>
                <c:pt idx="634">
                  <c:v>15.936776999999999</c:v>
                </c:pt>
                <c:pt idx="635">
                  <c:v>15.936832000000001</c:v>
                </c:pt>
                <c:pt idx="636">
                  <c:v>15.936887</c:v>
                </c:pt>
                <c:pt idx="637">
                  <c:v>15.936939000000001</c:v>
                </c:pt>
                <c:pt idx="638">
                  <c:v>15.93699</c:v>
                </c:pt>
                <c:pt idx="639">
                  <c:v>15.93704</c:v>
                </c:pt>
                <c:pt idx="640">
                  <c:v>15.93709</c:v>
                </c:pt>
                <c:pt idx="641">
                  <c:v>15.937137999999999</c:v>
                </c:pt>
                <c:pt idx="642">
                  <c:v>15.9371805</c:v>
                </c:pt>
                <c:pt idx="643">
                  <c:v>15.937222500000001</c:v>
                </c:pt>
                <c:pt idx="644">
                  <c:v>15.937263</c:v>
                </c:pt>
                <c:pt idx="645">
                  <c:v>15.937302000000001</c:v>
                </c:pt>
                <c:pt idx="646">
                  <c:v>15.937340000000001</c:v>
                </c:pt>
                <c:pt idx="647">
                  <c:v>15.937377</c:v>
                </c:pt>
                <c:pt idx="648">
                  <c:v>15.937412</c:v>
                </c:pt>
                <c:pt idx="649">
                  <c:v>15.937448</c:v>
                </c:pt>
                <c:pt idx="650">
                  <c:v>15.937483</c:v>
                </c:pt>
                <c:pt idx="651">
                  <c:v>15.937516</c:v>
                </c:pt>
                <c:pt idx="652">
                  <c:v>15.93755</c:v>
                </c:pt>
                <c:pt idx="653">
                  <c:v>15.937583</c:v>
                </c:pt>
                <c:pt idx="654">
                  <c:v>15.937614999999999</c:v>
                </c:pt>
                <c:pt idx="655">
                  <c:v>15.937647999999999</c:v>
                </c:pt>
                <c:pt idx="656">
                  <c:v>15.937678999999999</c:v>
                </c:pt>
                <c:pt idx="657">
                  <c:v>15.937708000000001</c:v>
                </c:pt>
                <c:pt idx="658">
                  <c:v>15.937735999999999</c:v>
                </c:pt>
                <c:pt idx="659">
                  <c:v>15.937763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3A-448B-B344-CEA92E205FB0}"/>
            </c:ext>
          </c:extLst>
        </c:ser>
        <c:ser>
          <c:idx val="0"/>
          <c:order val="2"/>
          <c:tx>
            <c:v>FE MIFT 2-A S2</c:v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MIFT!$A$3:$A$657</c:f>
              <c:numCache>
                <c:formatCode>0.00E+00</c:formatCode>
                <c:ptCount val="655"/>
                <c:pt idx="0">
                  <c:v>2.8583581999999999E-8</c:v>
                </c:pt>
                <c:pt idx="1">
                  <c:v>5.7167163000000001E-8</c:v>
                </c:pt>
                <c:pt idx="2">
                  <c:v>8.5750739999999995E-8</c:v>
                </c:pt>
                <c:pt idx="3">
                  <c:v>1.1433433E-7</c:v>
                </c:pt>
                <c:pt idx="4">
                  <c:v>1.4291791E-7</c:v>
                </c:pt>
                <c:pt idx="5">
                  <c:v>1.7150147999999999E-7</c:v>
                </c:pt>
                <c:pt idx="6">
                  <c:v>2.0008507E-7</c:v>
                </c:pt>
                <c:pt idx="7">
                  <c:v>2.2866865E-7</c:v>
                </c:pt>
                <c:pt idx="8">
                  <c:v>2.5725222000000001E-7</c:v>
                </c:pt>
                <c:pt idx="9">
                  <c:v>2.8583582E-7</c:v>
                </c:pt>
                <c:pt idx="10">
                  <c:v>3.1441940000000003E-7</c:v>
                </c:pt>
                <c:pt idx="11">
                  <c:v>3.4300297000000001E-7</c:v>
                </c:pt>
                <c:pt idx="12">
                  <c:v>3.7158657000000001E-7</c:v>
                </c:pt>
                <c:pt idx="13">
                  <c:v>4.0017013999999999E-7</c:v>
                </c:pt>
                <c:pt idx="14">
                  <c:v>4.287537E-7</c:v>
                </c:pt>
                <c:pt idx="15">
                  <c:v>4.5733729999999999E-7</c:v>
                </c:pt>
                <c:pt idx="16">
                  <c:v>4.8592089999999998E-7</c:v>
                </c:pt>
                <c:pt idx="17">
                  <c:v>5.1450444999999995E-7</c:v>
                </c:pt>
                <c:pt idx="18">
                  <c:v>5.4308805E-7</c:v>
                </c:pt>
                <c:pt idx="19">
                  <c:v>5.7167165000000004E-7</c:v>
                </c:pt>
                <c:pt idx="20">
                  <c:v>6.0025520000000001E-7</c:v>
                </c:pt>
                <c:pt idx="21">
                  <c:v>6.2883880000000005E-7</c:v>
                </c:pt>
                <c:pt idx="22">
                  <c:v>6.5742239999999999E-7</c:v>
                </c:pt>
                <c:pt idx="23">
                  <c:v>6.8600592999999999E-7</c:v>
                </c:pt>
                <c:pt idx="24">
                  <c:v>7.1458953000000004E-7</c:v>
                </c:pt>
                <c:pt idx="25">
                  <c:v>7.4317312999999998E-7</c:v>
                </c:pt>
                <c:pt idx="26">
                  <c:v>7.7175670000000002E-7</c:v>
                </c:pt>
                <c:pt idx="27">
                  <c:v>8.0034029999999996E-7</c:v>
                </c:pt>
                <c:pt idx="28">
                  <c:v>8.289239E-7</c:v>
                </c:pt>
                <c:pt idx="29">
                  <c:v>8.575074E-7</c:v>
                </c:pt>
                <c:pt idx="30">
                  <c:v>8.8609100000000004E-7</c:v>
                </c:pt>
                <c:pt idx="31">
                  <c:v>9.1467459999999998E-7</c:v>
                </c:pt>
                <c:pt idx="32">
                  <c:v>9.4325820000000003E-7</c:v>
                </c:pt>
                <c:pt idx="33">
                  <c:v>9.7184179999999996E-7</c:v>
                </c:pt>
                <c:pt idx="34">
                  <c:v>1.0004253000000001E-6</c:v>
                </c:pt>
                <c:pt idx="35">
                  <c:v>1.0290088999999999E-6</c:v>
                </c:pt>
                <c:pt idx="36">
                  <c:v>1.0575924999999999E-6</c:v>
                </c:pt>
                <c:pt idx="37">
                  <c:v>1.0861761E-6</c:v>
                </c:pt>
                <c:pt idx="38">
                  <c:v>1.1147597E-6</c:v>
                </c:pt>
                <c:pt idx="39">
                  <c:v>1.1433433000000001E-6</c:v>
                </c:pt>
                <c:pt idx="40">
                  <c:v>1.1719268E-6</c:v>
                </c:pt>
                <c:pt idx="41">
                  <c:v>1.2005104E-6</c:v>
                </c:pt>
                <c:pt idx="42">
                  <c:v>1.2290940000000001E-6</c:v>
                </c:pt>
                <c:pt idx="43">
                  <c:v>1.2576776000000001E-6</c:v>
                </c:pt>
                <c:pt idx="44">
                  <c:v>1.2862611999999999E-6</c:v>
                </c:pt>
                <c:pt idx="45">
                  <c:v>1.3148448E-6</c:v>
                </c:pt>
                <c:pt idx="46">
                  <c:v>1.3434284E-6</c:v>
                </c:pt>
                <c:pt idx="47">
                  <c:v>1.3720118999999999E-6</c:v>
                </c:pt>
                <c:pt idx="48">
                  <c:v>1.4005955E-6</c:v>
                </c:pt>
                <c:pt idx="49">
                  <c:v>1.4291791E-6</c:v>
                </c:pt>
                <c:pt idx="50">
                  <c:v>1.4577627000000001E-6</c:v>
                </c:pt>
                <c:pt idx="51">
                  <c:v>1.4863463000000001E-6</c:v>
                </c:pt>
                <c:pt idx="52">
                  <c:v>1.5149298999999999E-6</c:v>
                </c:pt>
                <c:pt idx="53">
                  <c:v>1.5435133000000001E-6</c:v>
                </c:pt>
                <c:pt idx="54">
                  <c:v>1.5720970000000001E-6</c:v>
                </c:pt>
                <c:pt idx="55">
                  <c:v>1.6006805E-6</c:v>
                </c:pt>
                <c:pt idx="56">
                  <c:v>1.6292641E-6</c:v>
                </c:pt>
                <c:pt idx="57">
                  <c:v>1.6578477000000001E-6</c:v>
                </c:pt>
                <c:pt idx="58">
                  <c:v>1.6864313000000001E-6</c:v>
                </c:pt>
                <c:pt idx="59">
                  <c:v>1.7150148E-6</c:v>
                </c:pt>
                <c:pt idx="60">
                  <c:v>3.4300296999999999E-6</c:v>
                </c:pt>
                <c:pt idx="61">
                  <c:v>5.1450446999999998E-6</c:v>
                </c:pt>
                <c:pt idx="62">
                  <c:v>6.8600592999999999E-6</c:v>
                </c:pt>
                <c:pt idx="63">
                  <c:v>8.5750740000000008E-6</c:v>
                </c:pt>
                <c:pt idx="64">
                  <c:v>1.0290089E-5</c:v>
                </c:pt>
                <c:pt idx="65">
                  <c:v>1.20051045E-5</c:v>
                </c:pt>
                <c:pt idx="66">
                  <c:v>1.3720119E-5</c:v>
                </c:pt>
                <c:pt idx="67">
                  <c:v>1.5435135E-5</c:v>
                </c:pt>
                <c:pt idx="68">
                  <c:v>1.7150149000000001E-5</c:v>
                </c:pt>
                <c:pt idx="69">
                  <c:v>1.8865162999999999E-5</c:v>
                </c:pt>
                <c:pt idx="70">
                  <c:v>2.0580178999999999E-5</c:v>
                </c:pt>
                <c:pt idx="71">
                  <c:v>2.2295193E-5</c:v>
                </c:pt>
                <c:pt idx="72">
                  <c:v>2.4010209000000001E-5</c:v>
                </c:pt>
                <c:pt idx="73">
                  <c:v>2.5725222999999999E-5</c:v>
                </c:pt>
                <c:pt idx="74">
                  <c:v>2.7440237E-5</c:v>
                </c:pt>
                <c:pt idx="75">
                  <c:v>2.9155253E-5</c:v>
                </c:pt>
                <c:pt idx="76">
                  <c:v>3.0870269999999999E-5</c:v>
                </c:pt>
                <c:pt idx="77">
                  <c:v>3.258528E-5</c:v>
                </c:pt>
                <c:pt idx="78">
                  <c:v>3.4300298000000002E-5</c:v>
                </c:pt>
                <c:pt idx="79">
                  <c:v>3.6015313999999999E-5</c:v>
                </c:pt>
                <c:pt idx="80">
                  <c:v>3.7730325999999998E-5</c:v>
                </c:pt>
                <c:pt idx="81">
                  <c:v>3.9445342000000002E-5</c:v>
                </c:pt>
                <c:pt idx="82">
                  <c:v>4.1160357999999998E-5</c:v>
                </c:pt>
                <c:pt idx="83">
                  <c:v>4.2875374000000002E-5</c:v>
                </c:pt>
                <c:pt idx="84">
                  <c:v>4.4590386000000001E-5</c:v>
                </c:pt>
                <c:pt idx="85">
                  <c:v>4.6305401999999998E-5</c:v>
                </c:pt>
                <c:pt idx="86">
                  <c:v>4.8020418000000001E-5</c:v>
                </c:pt>
                <c:pt idx="87">
                  <c:v>4.973543E-5</c:v>
                </c:pt>
                <c:pt idx="88">
                  <c:v>5.1450445999999997E-5</c:v>
                </c:pt>
                <c:pt idx="89">
                  <c:v>5.3165462000000001E-5</c:v>
                </c:pt>
                <c:pt idx="90">
                  <c:v>5.4880475000000002E-5</c:v>
                </c:pt>
                <c:pt idx="91">
                  <c:v>5.6595490000000003E-5</c:v>
                </c:pt>
                <c:pt idx="92">
                  <c:v>5.8310507000000003E-5</c:v>
                </c:pt>
                <c:pt idx="93">
                  <c:v>6.0025522999999999E-5</c:v>
                </c:pt>
                <c:pt idx="94">
                  <c:v>6.1740539999999999E-5</c:v>
                </c:pt>
                <c:pt idx="95">
                  <c:v>6.3455550000000006E-5</c:v>
                </c:pt>
                <c:pt idx="96">
                  <c:v>6.517056E-5</c:v>
                </c:pt>
                <c:pt idx="97">
                  <c:v>6.6885579999999994E-5</c:v>
                </c:pt>
                <c:pt idx="98">
                  <c:v>6.8600594999999995E-5</c:v>
                </c:pt>
                <c:pt idx="99">
                  <c:v>7.0315609999999995E-5</c:v>
                </c:pt>
                <c:pt idx="100">
                  <c:v>7.2030630000000003E-5</c:v>
                </c:pt>
                <c:pt idx="101">
                  <c:v>7.3745639999999997E-5</c:v>
                </c:pt>
                <c:pt idx="102">
                  <c:v>7.5460650000000004E-5</c:v>
                </c:pt>
                <c:pt idx="103">
                  <c:v>7.7175669999999998E-5</c:v>
                </c:pt>
                <c:pt idx="104">
                  <c:v>7.8890684000000003E-5</c:v>
                </c:pt>
                <c:pt idx="105">
                  <c:v>8.06057E-5</c:v>
                </c:pt>
                <c:pt idx="106">
                  <c:v>8.2320715999999996E-5</c:v>
                </c:pt>
                <c:pt idx="107">
                  <c:v>8.4035730000000001E-5</c:v>
                </c:pt>
                <c:pt idx="108">
                  <c:v>8.5750749999999995E-5</c:v>
                </c:pt>
                <c:pt idx="109">
                  <c:v>8.7465756000000005E-5</c:v>
                </c:pt>
                <c:pt idx="110">
                  <c:v>8.9180769999999996E-5</c:v>
                </c:pt>
                <c:pt idx="111">
                  <c:v>9.0895790000000004E-5</c:v>
                </c:pt>
                <c:pt idx="112">
                  <c:v>9.2610803999999995E-5</c:v>
                </c:pt>
                <c:pt idx="113">
                  <c:v>9.4325820000000006E-5</c:v>
                </c:pt>
                <c:pt idx="114">
                  <c:v>9.6040836000000002E-5</c:v>
                </c:pt>
                <c:pt idx="115">
                  <c:v>9.7755849999999993E-5</c:v>
                </c:pt>
                <c:pt idx="116">
                  <c:v>9.9470860000000001E-5</c:v>
                </c:pt>
                <c:pt idx="117">
                  <c:v>1.0118587999999999E-4</c:v>
                </c:pt>
                <c:pt idx="118">
                  <c:v>1.0290089E-4</c:v>
                </c:pt>
                <c:pt idx="119">
                  <c:v>2.0580178999999999E-4</c:v>
                </c:pt>
                <c:pt idx="120">
                  <c:v>3.0870266999999998E-4</c:v>
                </c:pt>
                <c:pt idx="121">
                  <c:v>4.1160357000000002E-4</c:v>
                </c:pt>
                <c:pt idx="122">
                  <c:v>5.1450444000000002E-4</c:v>
                </c:pt>
                <c:pt idx="123">
                  <c:v>6.1740533999999996E-4</c:v>
                </c:pt>
                <c:pt idx="124">
                  <c:v>7.2030624E-4</c:v>
                </c:pt>
                <c:pt idx="125">
                  <c:v>8.2320714000000004E-4</c:v>
                </c:pt>
                <c:pt idx="126">
                  <c:v>9.2610803999999998E-4</c:v>
                </c:pt>
                <c:pt idx="127" formatCode="General">
                  <c:v>1.0290089E-3</c:v>
                </c:pt>
                <c:pt idx="128" formatCode="General">
                  <c:v>1.1319098E-3</c:v>
                </c:pt>
                <c:pt idx="129" formatCode="General">
                  <c:v>1.2348107000000001E-3</c:v>
                </c:pt>
                <c:pt idx="130" formatCode="General">
                  <c:v>1.3377116000000001E-3</c:v>
                </c:pt>
                <c:pt idx="131">
                  <c:v>1.4406124999999999E-3</c:v>
                </c:pt>
                <c:pt idx="132" formatCode="General">
                  <c:v>1.5435134E-3</c:v>
                </c:pt>
                <c:pt idx="133" formatCode="General">
                  <c:v>1.6464143E-3</c:v>
                </c:pt>
                <c:pt idx="134" formatCode="General">
                  <c:v>1.7493152000000001E-3</c:v>
                </c:pt>
                <c:pt idx="135" formatCode="General">
                  <c:v>1.8522161000000001E-3</c:v>
                </c:pt>
                <c:pt idx="136" formatCode="General">
                  <c:v>1.9551169000000001E-3</c:v>
                </c:pt>
                <c:pt idx="137" formatCode="General">
                  <c:v>2.0580177999999999E-3</c:v>
                </c:pt>
                <c:pt idx="138" formatCode="General">
                  <c:v>2.1609187000000002E-3</c:v>
                </c:pt>
                <c:pt idx="139" formatCode="General">
                  <c:v>2.2638196E-3</c:v>
                </c:pt>
                <c:pt idx="140" formatCode="General">
                  <c:v>2.3667204999999998E-3</c:v>
                </c:pt>
                <c:pt idx="141" formatCode="General">
                  <c:v>2.4696214000000001E-3</c:v>
                </c:pt>
                <c:pt idx="142" formatCode="General">
                  <c:v>4.9392426999999997E-3</c:v>
                </c:pt>
                <c:pt idx="143" formatCode="General">
                  <c:v>7.4088642999999999E-3</c:v>
                </c:pt>
                <c:pt idx="144" formatCode="General">
                  <c:v>9.8784849999999993E-3</c:v>
                </c:pt>
                <c:pt idx="145" formatCode="General">
                  <c:v>1.2348107000000001E-2</c:v>
                </c:pt>
                <c:pt idx="146" formatCode="General">
                  <c:v>1.4817729E-2</c:v>
                </c:pt>
                <c:pt idx="147" formatCode="General">
                  <c:v>1.728735E-2</c:v>
                </c:pt>
                <c:pt idx="148" formatCode="General">
                  <c:v>1.9756969999999999E-2</c:v>
                </c:pt>
                <c:pt idx="149" formatCode="General">
                  <c:v>2.2226592999999999E-2</c:v>
                </c:pt>
                <c:pt idx="150" formatCode="General">
                  <c:v>2.4696214000000001E-2</c:v>
                </c:pt>
                <c:pt idx="151" formatCode="General">
                  <c:v>2.7165835999999999E-2</c:v>
                </c:pt>
                <c:pt idx="152" formatCode="General">
                  <c:v>2.9635457E-2</c:v>
                </c:pt>
                <c:pt idx="153" formatCode="General">
                  <c:v>3.2105077000000003E-2</c:v>
                </c:pt>
                <c:pt idx="154" formatCode="General">
                  <c:v>3.45747E-2</c:v>
                </c:pt>
                <c:pt idx="155" formatCode="General">
                  <c:v>3.7044319999999999E-2</c:v>
                </c:pt>
                <c:pt idx="156" formatCode="General">
                  <c:v>3.9513939999999997E-2</c:v>
                </c:pt>
                <c:pt idx="157" formatCode="General">
                  <c:v>4.1983563000000002E-2</c:v>
                </c:pt>
                <c:pt idx="158" formatCode="General">
                  <c:v>4.4453184999999999E-2</c:v>
                </c:pt>
                <c:pt idx="159" formatCode="General">
                  <c:v>4.6922806999999997E-2</c:v>
                </c:pt>
                <c:pt idx="160" formatCode="General">
                  <c:v>4.9392430000000001E-2</c:v>
                </c:pt>
                <c:pt idx="161" formatCode="General">
                  <c:v>5.186205E-2</c:v>
                </c:pt>
                <c:pt idx="162" formatCode="General">
                  <c:v>5.4331669999999999E-2</c:v>
                </c:pt>
                <c:pt idx="163" formatCode="General">
                  <c:v>5.6801293000000003E-2</c:v>
                </c:pt>
                <c:pt idx="164" formatCode="General">
                  <c:v>5.9270915E-2</c:v>
                </c:pt>
                <c:pt idx="165" formatCode="General">
                  <c:v>6.1740535999999999E-2</c:v>
                </c:pt>
                <c:pt idx="166" formatCode="General">
                  <c:v>6.4210154000000005E-2</c:v>
                </c:pt>
                <c:pt idx="167" formatCode="General">
                  <c:v>6.6679775999999996E-2</c:v>
                </c:pt>
                <c:pt idx="168" formatCode="General">
                  <c:v>6.91494E-2</c:v>
                </c:pt>
                <c:pt idx="169" formatCode="General">
                  <c:v>7.1619020000000005E-2</c:v>
                </c:pt>
                <c:pt idx="170" formatCode="General">
                  <c:v>7.4088639999999997E-2</c:v>
                </c:pt>
                <c:pt idx="171" formatCode="General">
                  <c:v>7.6558260000000003E-2</c:v>
                </c:pt>
                <c:pt idx="172" formatCode="General">
                  <c:v>7.9027879999999995E-2</c:v>
                </c:pt>
                <c:pt idx="173" formatCode="General">
                  <c:v>8.1497504999999998E-2</c:v>
                </c:pt>
                <c:pt idx="174" formatCode="General">
                  <c:v>8.3967130000000001E-2</c:v>
                </c:pt>
                <c:pt idx="175" formatCode="General">
                  <c:v>8.6436750000000007E-2</c:v>
                </c:pt>
                <c:pt idx="176" formatCode="General">
                  <c:v>8.8906369999999998E-2</c:v>
                </c:pt>
                <c:pt idx="177" formatCode="General">
                  <c:v>9.1375990000000004E-2</c:v>
                </c:pt>
                <c:pt idx="178" formatCode="General">
                  <c:v>9.3845609999999996E-2</c:v>
                </c:pt>
                <c:pt idx="179" formatCode="General">
                  <c:v>9.6315234999999999E-2</c:v>
                </c:pt>
                <c:pt idx="180" formatCode="General">
                  <c:v>9.8784860000000002E-2</c:v>
                </c:pt>
                <c:pt idx="181" formatCode="General">
                  <c:v>0.10125447999999999</c:v>
                </c:pt>
                <c:pt idx="182" formatCode="General">
                  <c:v>0.1037241</c:v>
                </c:pt>
                <c:pt idx="183" formatCode="General">
                  <c:v>0.10619372000000001</c:v>
                </c:pt>
                <c:pt idx="184" formatCode="General">
                  <c:v>0.10866334</c:v>
                </c:pt>
                <c:pt idx="185" formatCode="General">
                  <c:v>0.111132964</c:v>
                </c:pt>
                <c:pt idx="186" formatCode="General">
                  <c:v>0.11360258600000001</c:v>
                </c:pt>
                <c:pt idx="187" formatCode="General">
                  <c:v>0.11607221</c:v>
                </c:pt>
                <c:pt idx="188" formatCode="General">
                  <c:v>0.11854183</c:v>
                </c:pt>
                <c:pt idx="189" formatCode="General">
                  <c:v>0.12101145000000001</c:v>
                </c:pt>
                <c:pt idx="190" formatCode="General">
                  <c:v>0.12348107</c:v>
                </c:pt>
                <c:pt idx="191" formatCode="General">
                  <c:v>0.1259507</c:v>
                </c:pt>
                <c:pt idx="192" formatCode="General">
                  <c:v>0.12842031000000001</c:v>
                </c:pt>
                <c:pt idx="193" formatCode="General">
                  <c:v>0.13088994000000001</c:v>
                </c:pt>
                <c:pt idx="194" formatCode="General">
                  <c:v>0.13335954999999999</c:v>
                </c:pt>
                <c:pt idx="195" formatCode="General">
                  <c:v>0.13582917999999999</c:v>
                </c:pt>
                <c:pt idx="196" formatCode="General">
                  <c:v>0.1382988</c:v>
                </c:pt>
                <c:pt idx="197" formatCode="General">
                  <c:v>0.14076842000000001</c:v>
                </c:pt>
                <c:pt idx="198" formatCode="General">
                  <c:v>0.14323804000000001</c:v>
                </c:pt>
                <c:pt idx="199" formatCode="General">
                  <c:v>0.14570767000000001</c:v>
                </c:pt>
                <c:pt idx="200" formatCode="General">
                  <c:v>0.14817727999999999</c:v>
                </c:pt>
                <c:pt idx="201" formatCode="General">
                  <c:v>0.15064690999999999</c:v>
                </c:pt>
                <c:pt idx="202" formatCode="General">
                  <c:v>0.15311652000000001</c:v>
                </c:pt>
                <c:pt idx="203" formatCode="General">
                  <c:v>0.15558615000000001</c:v>
                </c:pt>
                <c:pt idx="204" formatCode="General">
                  <c:v>0.15805577000000001</c:v>
                </c:pt>
                <c:pt idx="205" formatCode="General">
                  <c:v>0.16052540000000001</c:v>
                </c:pt>
                <c:pt idx="206" formatCode="General">
                  <c:v>0.16299501</c:v>
                </c:pt>
                <c:pt idx="207" formatCode="General">
                  <c:v>0.16546464</c:v>
                </c:pt>
                <c:pt idx="208" formatCode="General">
                  <c:v>0.16793425000000001</c:v>
                </c:pt>
                <c:pt idx="209" formatCode="General">
                  <c:v>0.17040388000000001</c:v>
                </c:pt>
                <c:pt idx="210" formatCode="General">
                  <c:v>0.17287350000000001</c:v>
                </c:pt>
                <c:pt idx="211" formatCode="General">
                  <c:v>0.17534313000000001</c:v>
                </c:pt>
                <c:pt idx="212" formatCode="General">
                  <c:v>0.17781274</c:v>
                </c:pt>
                <c:pt idx="213" formatCode="General">
                  <c:v>0.18028237</c:v>
                </c:pt>
                <c:pt idx="214" formatCode="General">
                  <c:v>0.18275198000000001</c:v>
                </c:pt>
                <c:pt idx="215" formatCode="General">
                  <c:v>0.18522161000000001</c:v>
                </c:pt>
                <c:pt idx="216" formatCode="General">
                  <c:v>0.18769122999999999</c:v>
                </c:pt>
                <c:pt idx="217" formatCode="General">
                  <c:v>0.19016085999999999</c:v>
                </c:pt>
                <c:pt idx="218" formatCode="General">
                  <c:v>0.19263047</c:v>
                </c:pt>
                <c:pt idx="219" formatCode="General">
                  <c:v>0.1951001</c:v>
                </c:pt>
                <c:pt idx="220" formatCode="General">
                  <c:v>0.19756971000000001</c:v>
                </c:pt>
                <c:pt idx="221" formatCode="General">
                  <c:v>0.20003934000000001</c:v>
                </c:pt>
                <c:pt idx="222" formatCode="General">
                  <c:v>0.20250895999999999</c:v>
                </c:pt>
                <c:pt idx="223" formatCode="General">
                  <c:v>0.20497858999999999</c:v>
                </c:pt>
                <c:pt idx="224" formatCode="General">
                  <c:v>0.2074482</c:v>
                </c:pt>
                <c:pt idx="225" formatCode="General">
                  <c:v>0.20991783</c:v>
                </c:pt>
                <c:pt idx="226" formatCode="General">
                  <c:v>0.21238744000000001</c:v>
                </c:pt>
                <c:pt idx="227" formatCode="General">
                  <c:v>0.21485707000000001</c:v>
                </c:pt>
                <c:pt idx="228" formatCode="General">
                  <c:v>0.21732668999999999</c:v>
                </c:pt>
                <c:pt idx="229" formatCode="General">
                  <c:v>0.21979630999999999</c:v>
                </c:pt>
                <c:pt idx="230" formatCode="General">
                  <c:v>0.22226593</c:v>
                </c:pt>
                <c:pt idx="231" formatCode="General">
                  <c:v>0.22473556</c:v>
                </c:pt>
                <c:pt idx="232" formatCode="General">
                  <c:v>0.22720517000000001</c:v>
                </c:pt>
                <c:pt idx="233" formatCode="General">
                  <c:v>0.22967478999999999</c:v>
                </c:pt>
                <c:pt idx="234" formatCode="General">
                  <c:v>0.23214441999999999</c:v>
                </c:pt>
                <c:pt idx="235" formatCode="General">
                  <c:v>0.23461403</c:v>
                </c:pt>
                <c:pt idx="236" formatCode="General">
                  <c:v>0.23708366</c:v>
                </c:pt>
                <c:pt idx="237" formatCode="General">
                  <c:v>0.23955327000000001</c:v>
                </c:pt>
                <c:pt idx="238" formatCode="General">
                  <c:v>0.24202290000000001</c:v>
                </c:pt>
                <c:pt idx="239" formatCode="General">
                  <c:v>0.24449251999999999</c:v>
                </c:pt>
                <c:pt idx="240" formatCode="General">
                  <c:v>0.24696214</c:v>
                </c:pt>
                <c:pt idx="241" formatCode="General">
                  <c:v>0.24943176</c:v>
                </c:pt>
                <c:pt idx="242" formatCode="General">
                  <c:v>0.2519014</c:v>
                </c:pt>
                <c:pt idx="243" formatCode="General">
                  <c:v>0.25437102</c:v>
                </c:pt>
                <c:pt idx="244" formatCode="General">
                  <c:v>0.25684062000000002</c:v>
                </c:pt>
                <c:pt idx="245" formatCode="General">
                  <c:v>0.25931025000000002</c:v>
                </c:pt>
                <c:pt idx="246" formatCode="General">
                  <c:v>0.26177987000000003</c:v>
                </c:pt>
                <c:pt idx="247" formatCode="General">
                  <c:v>0.26424950000000003</c:v>
                </c:pt>
                <c:pt idx="248" formatCode="General">
                  <c:v>0.26671909999999999</c:v>
                </c:pt>
                <c:pt idx="249" formatCode="General">
                  <c:v>0.26918872999999999</c:v>
                </c:pt>
                <c:pt idx="250" formatCode="General">
                  <c:v>0.27165835999999999</c:v>
                </c:pt>
                <c:pt idx="251" formatCode="General">
                  <c:v>0.27412799999999998</c:v>
                </c:pt>
                <c:pt idx="252" formatCode="General">
                  <c:v>0.2765976</c:v>
                </c:pt>
                <c:pt idx="253" formatCode="General">
                  <c:v>0.27906722</c:v>
                </c:pt>
                <c:pt idx="254" formatCode="General">
                  <c:v>0.28153685000000001</c:v>
                </c:pt>
                <c:pt idx="255" formatCode="General">
                  <c:v>0.28400648000000001</c:v>
                </c:pt>
                <c:pt idx="256" formatCode="General">
                  <c:v>0.28647608000000002</c:v>
                </c:pt>
                <c:pt idx="257" formatCode="General">
                  <c:v>0.28894570000000003</c:v>
                </c:pt>
                <c:pt idx="258" formatCode="General">
                  <c:v>0.29141532999999997</c:v>
                </c:pt>
                <c:pt idx="259" formatCode="General">
                  <c:v>0.29388495999999997</c:v>
                </c:pt>
                <c:pt idx="260" formatCode="General">
                  <c:v>0.29635455999999999</c:v>
                </c:pt>
                <c:pt idx="261" formatCode="General">
                  <c:v>0.29882419999999998</c:v>
                </c:pt>
                <c:pt idx="262" formatCode="General">
                  <c:v>0.30129381999999999</c:v>
                </c:pt>
                <c:pt idx="263" formatCode="General">
                  <c:v>0.30376344999999999</c:v>
                </c:pt>
                <c:pt idx="264" formatCode="General">
                  <c:v>0.30623305000000001</c:v>
                </c:pt>
                <c:pt idx="265" formatCode="General">
                  <c:v>0.30870268000000001</c:v>
                </c:pt>
                <c:pt idx="266" formatCode="General">
                  <c:v>0.31117230000000001</c:v>
                </c:pt>
                <c:pt idx="267" formatCode="General">
                  <c:v>0.31364194000000001</c:v>
                </c:pt>
                <c:pt idx="268" formatCode="General">
                  <c:v>0.31611152999999997</c:v>
                </c:pt>
                <c:pt idx="269" formatCode="General">
                  <c:v>0.31858115999999997</c:v>
                </c:pt>
                <c:pt idx="270" formatCode="General">
                  <c:v>0.32105080000000003</c:v>
                </c:pt>
                <c:pt idx="271" formatCode="General">
                  <c:v>0.32352041999999998</c:v>
                </c:pt>
                <c:pt idx="272" formatCode="General">
                  <c:v>0.32599001999999999</c:v>
                </c:pt>
                <c:pt idx="273" formatCode="General">
                  <c:v>0.32845964999999999</c:v>
                </c:pt>
                <c:pt idx="274" formatCode="General">
                  <c:v>0.33092927999999999</c:v>
                </c:pt>
                <c:pt idx="275" formatCode="General">
                  <c:v>0.3333989</c:v>
                </c:pt>
                <c:pt idx="276" formatCode="General">
                  <c:v>0.33586850000000001</c:v>
                </c:pt>
                <c:pt idx="277" formatCode="General">
                  <c:v>0.33833814000000001</c:v>
                </c:pt>
                <c:pt idx="278" formatCode="General">
                  <c:v>0.34080777000000001</c:v>
                </c:pt>
                <c:pt idx="279" formatCode="General">
                  <c:v>0.34327735999999998</c:v>
                </c:pt>
                <c:pt idx="280" formatCode="General">
                  <c:v>0.34574700000000003</c:v>
                </c:pt>
                <c:pt idx="281" formatCode="General">
                  <c:v>0.34821661999999998</c:v>
                </c:pt>
                <c:pt idx="282" formatCode="General">
                  <c:v>0.35068624999999998</c:v>
                </c:pt>
                <c:pt idx="283" formatCode="General">
                  <c:v>0.35315584999999999</c:v>
                </c:pt>
                <c:pt idx="284" formatCode="General">
                  <c:v>0.35562547999999999</c:v>
                </c:pt>
                <c:pt idx="285" formatCode="General">
                  <c:v>0.3580951</c:v>
                </c:pt>
                <c:pt idx="286" formatCode="General">
                  <c:v>0.36056473999999999</c:v>
                </c:pt>
                <c:pt idx="287" formatCode="General">
                  <c:v>0.36303434000000001</c:v>
                </c:pt>
                <c:pt idx="288" formatCode="General">
                  <c:v>0.36550397000000001</c:v>
                </c:pt>
                <c:pt idx="289" formatCode="General">
                  <c:v>0.36797360000000001</c:v>
                </c:pt>
                <c:pt idx="290">
                  <c:v>0.37044322000000002</c:v>
                </c:pt>
                <c:pt idx="291" formatCode="General">
                  <c:v>0.37291281999999998</c:v>
                </c:pt>
                <c:pt idx="292" formatCode="General">
                  <c:v>0.37538244999999998</c:v>
                </c:pt>
                <c:pt idx="293" formatCode="General">
                  <c:v>0.37785207999999998</c:v>
                </c:pt>
                <c:pt idx="294" formatCode="General">
                  <c:v>0.38032169999999998</c:v>
                </c:pt>
                <c:pt idx="295" formatCode="General">
                  <c:v>0.3827913</c:v>
                </c:pt>
                <c:pt idx="296" formatCode="General">
                  <c:v>0.38526094</c:v>
                </c:pt>
                <c:pt idx="297" formatCode="General">
                  <c:v>0.38773057</c:v>
                </c:pt>
                <c:pt idx="298" formatCode="General">
                  <c:v>0.3902002</c:v>
                </c:pt>
                <c:pt idx="299" formatCode="General">
                  <c:v>0.39266980000000001</c:v>
                </c:pt>
                <c:pt idx="300" formatCode="General">
                  <c:v>0.39513943000000001</c:v>
                </c:pt>
                <c:pt idx="301" formatCode="General">
                  <c:v>0.39760906000000001</c:v>
                </c:pt>
                <c:pt idx="302" formatCode="General">
                  <c:v>0.40007868000000002</c:v>
                </c:pt>
                <c:pt idx="303" formatCode="General">
                  <c:v>0.40254827999999998</c:v>
                </c:pt>
                <c:pt idx="304" formatCode="General">
                  <c:v>0.40501789999999999</c:v>
                </c:pt>
                <c:pt idx="305" formatCode="General">
                  <c:v>0.40748753999999998</c:v>
                </c:pt>
                <c:pt idx="306" formatCode="General">
                  <c:v>0.40995716999999998</c:v>
                </c:pt>
                <c:pt idx="307" formatCode="General">
                  <c:v>0.41242677</c:v>
                </c:pt>
                <c:pt idx="308" formatCode="General">
                  <c:v>0.4148964</c:v>
                </c:pt>
                <c:pt idx="309" formatCode="General">
                  <c:v>0.41736603</c:v>
                </c:pt>
                <c:pt idx="310" formatCode="General">
                  <c:v>0.41983566</c:v>
                </c:pt>
                <c:pt idx="311" formatCode="General">
                  <c:v>0.42230526000000002</c:v>
                </c:pt>
                <c:pt idx="312" formatCode="General">
                  <c:v>0.42477490000000001</c:v>
                </c:pt>
                <c:pt idx="313" formatCode="General">
                  <c:v>0.42724450000000003</c:v>
                </c:pt>
                <c:pt idx="314" formatCode="General">
                  <c:v>0.42971414000000002</c:v>
                </c:pt>
                <c:pt idx="315" formatCode="General">
                  <c:v>0.43218373999999998</c:v>
                </c:pt>
                <c:pt idx="316" formatCode="General">
                  <c:v>0.43465336999999998</c:v>
                </c:pt>
                <c:pt idx="317" formatCode="General">
                  <c:v>0.43712299999999998</c:v>
                </c:pt>
                <c:pt idx="318" formatCode="General">
                  <c:v>0.43959262999999998</c:v>
                </c:pt>
                <c:pt idx="319" formatCode="General">
                  <c:v>0.44206223</c:v>
                </c:pt>
                <c:pt idx="320" formatCode="General">
                  <c:v>0.44453186</c:v>
                </c:pt>
                <c:pt idx="321" formatCode="General">
                  <c:v>0.4470015</c:v>
                </c:pt>
                <c:pt idx="322" formatCode="General">
                  <c:v>0.44947112</c:v>
                </c:pt>
                <c:pt idx="323" formatCode="General">
                  <c:v>0.45194072000000002</c:v>
                </c:pt>
                <c:pt idx="324" formatCode="General">
                  <c:v>0.45441034000000002</c:v>
                </c:pt>
                <c:pt idx="325" formatCode="General">
                  <c:v>0.45687997000000002</c:v>
                </c:pt>
                <c:pt idx="326" formatCode="General">
                  <c:v>0.45934956999999998</c:v>
                </c:pt>
                <c:pt idx="327" formatCode="General">
                  <c:v>0.46181919999999999</c:v>
                </c:pt>
                <c:pt idx="328" formatCode="General">
                  <c:v>0.46428882999999999</c:v>
                </c:pt>
                <c:pt idx="329" formatCode="General">
                  <c:v>0.46675845999999999</c:v>
                </c:pt>
                <c:pt idx="330" formatCode="General">
                  <c:v>0.46922806</c:v>
                </c:pt>
                <c:pt idx="331" formatCode="General">
                  <c:v>0.4716977</c:v>
                </c:pt>
                <c:pt idx="332" formatCode="General">
                  <c:v>0.47416732</c:v>
                </c:pt>
                <c:pt idx="333" formatCode="General">
                  <c:v>0.47663695</c:v>
                </c:pt>
                <c:pt idx="334" formatCode="General">
                  <c:v>0.47910655000000002</c:v>
                </c:pt>
                <c:pt idx="335" formatCode="General">
                  <c:v>0.48157617000000003</c:v>
                </c:pt>
                <c:pt idx="336" formatCode="General">
                  <c:v>0.48404580000000003</c:v>
                </c:pt>
                <c:pt idx="337" formatCode="General">
                  <c:v>0.48651543000000003</c:v>
                </c:pt>
                <c:pt idx="338" formatCode="General">
                  <c:v>0.48898502999999999</c:v>
                </c:pt>
                <c:pt idx="339" formatCode="General">
                  <c:v>0.49145465999999999</c:v>
                </c:pt>
                <c:pt idx="340" formatCode="General">
                  <c:v>0.49392429999999998</c:v>
                </c:pt>
                <c:pt idx="341" formatCode="General">
                  <c:v>0.49639391999999999</c:v>
                </c:pt>
                <c:pt idx="342" formatCode="General">
                  <c:v>0.49886352</c:v>
                </c:pt>
                <c:pt idx="343" formatCode="General">
                  <c:v>0.50133320000000003</c:v>
                </c:pt>
                <c:pt idx="344" formatCode="General">
                  <c:v>0.5038028</c:v>
                </c:pt>
                <c:pt idx="345" formatCode="General">
                  <c:v>0.50627239999999996</c:v>
                </c:pt>
                <c:pt idx="346" formatCode="General">
                  <c:v>0.50874202999999996</c:v>
                </c:pt>
                <c:pt idx="347" formatCode="General">
                  <c:v>0.51121163000000003</c:v>
                </c:pt>
                <c:pt idx="348" formatCode="General">
                  <c:v>0.51368122999999999</c:v>
                </c:pt>
                <c:pt idx="349" formatCode="General">
                  <c:v>0.51615089999999997</c:v>
                </c:pt>
                <c:pt idx="350" formatCode="General">
                  <c:v>0.51862050000000004</c:v>
                </c:pt>
                <c:pt idx="351" formatCode="General">
                  <c:v>0.52109015000000003</c:v>
                </c:pt>
                <c:pt idx="352" formatCode="General">
                  <c:v>0.52355974999999999</c:v>
                </c:pt>
                <c:pt idx="353" formatCode="General">
                  <c:v>0.52602934999999995</c:v>
                </c:pt>
                <c:pt idx="354" formatCode="General">
                  <c:v>0.52849900000000005</c:v>
                </c:pt>
                <c:pt idx="355" formatCode="General">
                  <c:v>0.53096860000000001</c:v>
                </c:pt>
                <c:pt idx="356" formatCode="General">
                  <c:v>0.53343819999999997</c:v>
                </c:pt>
                <c:pt idx="357" formatCode="General">
                  <c:v>0.53590786000000001</c:v>
                </c:pt>
                <c:pt idx="358" formatCode="General">
                  <c:v>0.53837745999999997</c:v>
                </c:pt>
                <c:pt idx="359" formatCode="General">
                  <c:v>0.54084710000000003</c:v>
                </c:pt>
                <c:pt idx="360" formatCode="General">
                  <c:v>0.54331669999999999</c:v>
                </c:pt>
                <c:pt idx="361" formatCode="General">
                  <c:v>0.54578629999999995</c:v>
                </c:pt>
                <c:pt idx="362" formatCode="General">
                  <c:v>0.54825599999999997</c:v>
                </c:pt>
                <c:pt idx="363" formatCode="General">
                  <c:v>0.55072560000000004</c:v>
                </c:pt>
                <c:pt idx="364" formatCode="General">
                  <c:v>0.5531952</c:v>
                </c:pt>
                <c:pt idx="365" formatCode="General">
                  <c:v>0.55566484000000005</c:v>
                </c:pt>
                <c:pt idx="366" formatCode="General">
                  <c:v>0.55813444000000001</c:v>
                </c:pt>
                <c:pt idx="367" formatCode="General">
                  <c:v>0.56060410000000005</c:v>
                </c:pt>
                <c:pt idx="368" formatCode="General">
                  <c:v>0.56307370000000001</c:v>
                </c:pt>
                <c:pt idx="369" formatCode="General">
                  <c:v>0.56554329999999997</c:v>
                </c:pt>
                <c:pt idx="370" formatCode="General">
                  <c:v>0.56801294999999996</c:v>
                </c:pt>
                <c:pt idx="371" formatCode="General">
                  <c:v>0.57048255000000003</c:v>
                </c:pt>
                <c:pt idx="372" formatCode="General">
                  <c:v>0.57295214999999999</c:v>
                </c:pt>
                <c:pt idx="373" formatCode="General">
                  <c:v>0.57542179999999998</c:v>
                </c:pt>
                <c:pt idx="374" formatCode="General">
                  <c:v>0.57789140000000006</c:v>
                </c:pt>
                <c:pt idx="375" formatCode="General">
                  <c:v>0.58036100000000002</c:v>
                </c:pt>
                <c:pt idx="376" formatCode="General">
                  <c:v>0.58283067</c:v>
                </c:pt>
                <c:pt idx="377" formatCode="General">
                  <c:v>0.58530026999999996</c:v>
                </c:pt>
                <c:pt idx="378" formatCode="General">
                  <c:v>0.58776989999999996</c:v>
                </c:pt>
                <c:pt idx="379" formatCode="General">
                  <c:v>0.59023950000000003</c:v>
                </c:pt>
                <c:pt idx="380" formatCode="General">
                  <c:v>0.59270909999999999</c:v>
                </c:pt>
                <c:pt idx="381" formatCode="General">
                  <c:v>0.59517880000000001</c:v>
                </c:pt>
                <c:pt idx="382" formatCode="General">
                  <c:v>0.59764839999999997</c:v>
                </c:pt>
                <c:pt idx="383" formatCode="General">
                  <c:v>0.60011800000000004</c:v>
                </c:pt>
                <c:pt idx="384" formatCode="General">
                  <c:v>0.60258763999999998</c:v>
                </c:pt>
                <c:pt idx="385" formatCode="General">
                  <c:v>0.60505724000000005</c:v>
                </c:pt>
                <c:pt idx="386" formatCode="General">
                  <c:v>0.60752689999999998</c:v>
                </c:pt>
                <c:pt idx="387" formatCode="General">
                  <c:v>0.60999650000000005</c:v>
                </c:pt>
                <c:pt idx="388" formatCode="General">
                  <c:v>0.61246610000000001</c:v>
                </c:pt>
                <c:pt idx="389" formatCode="General">
                  <c:v>0.61493576000000005</c:v>
                </c:pt>
                <c:pt idx="390" formatCode="General">
                  <c:v>0.61740534999999996</c:v>
                </c:pt>
                <c:pt idx="391" formatCode="General">
                  <c:v>0.61987495000000004</c:v>
                </c:pt>
                <c:pt idx="392" formatCode="General">
                  <c:v>0.62234460000000003</c:v>
                </c:pt>
                <c:pt idx="393" formatCode="General">
                  <c:v>0.62481419999999999</c:v>
                </c:pt>
                <c:pt idx="394" formatCode="General">
                  <c:v>0.62728390000000001</c:v>
                </c:pt>
                <c:pt idx="395" formatCode="General">
                  <c:v>0.62975349999999997</c:v>
                </c:pt>
                <c:pt idx="396" formatCode="General">
                  <c:v>0.63222307</c:v>
                </c:pt>
                <c:pt idx="397" formatCode="General">
                  <c:v>0.6346927</c:v>
                </c:pt>
                <c:pt idx="398" formatCode="General">
                  <c:v>0.63716229999999996</c:v>
                </c:pt>
                <c:pt idx="399" formatCode="General">
                  <c:v>0.63963190000000003</c:v>
                </c:pt>
                <c:pt idx="400" formatCode="General">
                  <c:v>0.64210160000000005</c:v>
                </c:pt>
                <c:pt idx="401" formatCode="General">
                  <c:v>0.64457120000000001</c:v>
                </c:pt>
                <c:pt idx="402" formatCode="General">
                  <c:v>0.64704083999999995</c:v>
                </c:pt>
                <c:pt idx="403" formatCode="General">
                  <c:v>0.64951044000000002</c:v>
                </c:pt>
                <c:pt idx="404" formatCode="General">
                  <c:v>0.65198003999999998</c:v>
                </c:pt>
                <c:pt idx="405" formatCode="General">
                  <c:v>0.65444970000000002</c:v>
                </c:pt>
                <c:pt idx="406" formatCode="General">
                  <c:v>0.65691929999999998</c:v>
                </c:pt>
                <c:pt idx="407" formatCode="General">
                  <c:v>0.65938889999999994</c:v>
                </c:pt>
                <c:pt idx="408" formatCode="General">
                  <c:v>0.66185855999999998</c:v>
                </c:pt>
                <c:pt idx="409" formatCode="General">
                  <c:v>0.66432815999999995</c:v>
                </c:pt>
                <c:pt idx="410" formatCode="General">
                  <c:v>0.6667978</c:v>
                </c:pt>
                <c:pt idx="411" formatCode="General">
                  <c:v>0.66926739999999996</c:v>
                </c:pt>
                <c:pt idx="412" formatCode="General">
                  <c:v>0.67173700000000003</c:v>
                </c:pt>
                <c:pt idx="413" formatCode="General">
                  <c:v>0.67420670000000005</c:v>
                </c:pt>
                <c:pt idx="414" formatCode="General">
                  <c:v>0.67667630000000001</c:v>
                </c:pt>
                <c:pt idx="415" formatCode="General">
                  <c:v>0.67914589999999997</c:v>
                </c:pt>
                <c:pt idx="416" formatCode="General">
                  <c:v>0.68161552999999997</c:v>
                </c:pt>
                <c:pt idx="417" formatCode="General">
                  <c:v>0.68408513000000004</c:v>
                </c:pt>
                <c:pt idx="418" formatCode="General">
                  <c:v>0.68655473</c:v>
                </c:pt>
                <c:pt idx="419" formatCode="General">
                  <c:v>0.68902439999999998</c:v>
                </c:pt>
                <c:pt idx="420" formatCode="General">
                  <c:v>0.69149400000000005</c:v>
                </c:pt>
                <c:pt idx="421" formatCode="General">
                  <c:v>0.69396365000000004</c:v>
                </c:pt>
                <c:pt idx="422" formatCode="General">
                  <c:v>0.69643325</c:v>
                </c:pt>
                <c:pt idx="423" formatCode="General">
                  <c:v>0.69890284999999996</c:v>
                </c:pt>
                <c:pt idx="424" formatCode="General">
                  <c:v>0.70137249999999995</c:v>
                </c:pt>
                <c:pt idx="425" formatCode="General">
                  <c:v>0.70384210000000003</c:v>
                </c:pt>
                <c:pt idx="426" formatCode="General">
                  <c:v>0.70631169999999999</c:v>
                </c:pt>
                <c:pt idx="427" formatCode="General">
                  <c:v>0.70878136000000003</c:v>
                </c:pt>
                <c:pt idx="428" formatCode="General">
                  <c:v>0.71125095999999999</c:v>
                </c:pt>
                <c:pt idx="429" formatCode="General">
                  <c:v>0.71372060000000004</c:v>
                </c:pt>
                <c:pt idx="430" formatCode="General">
                  <c:v>0.7161902</c:v>
                </c:pt>
                <c:pt idx="431" formatCode="General">
                  <c:v>0.71865979999999996</c:v>
                </c:pt>
                <c:pt idx="432" formatCode="General">
                  <c:v>0.72112949999999998</c:v>
                </c:pt>
                <c:pt idx="433" formatCode="General">
                  <c:v>0.72359910000000005</c:v>
                </c:pt>
                <c:pt idx="434" formatCode="General">
                  <c:v>0.72606870000000001</c:v>
                </c:pt>
                <c:pt idx="435" formatCode="General">
                  <c:v>0.72853833000000001</c:v>
                </c:pt>
                <c:pt idx="436" formatCode="General">
                  <c:v>0.73100792999999997</c:v>
                </c:pt>
                <c:pt idx="437" formatCode="General">
                  <c:v>0.73347759999999995</c:v>
                </c:pt>
                <c:pt idx="438" formatCode="General">
                  <c:v>0.73594720000000002</c:v>
                </c:pt>
                <c:pt idx="439" formatCode="General">
                  <c:v>0.73841679999999998</c:v>
                </c:pt>
                <c:pt idx="440" formatCode="General">
                  <c:v>0.74088644999999997</c:v>
                </c:pt>
                <c:pt idx="441" formatCode="General">
                  <c:v>0.74335605000000005</c:v>
                </c:pt>
                <c:pt idx="442" formatCode="General">
                  <c:v>0.74582565000000001</c:v>
                </c:pt>
                <c:pt idx="443" formatCode="General">
                  <c:v>0.7482953</c:v>
                </c:pt>
                <c:pt idx="444" formatCode="General">
                  <c:v>0.75076489999999996</c:v>
                </c:pt>
                <c:pt idx="445" formatCode="General">
                  <c:v>0.75323457000000005</c:v>
                </c:pt>
                <c:pt idx="446" formatCode="General">
                  <c:v>0.75570415999999996</c:v>
                </c:pt>
                <c:pt idx="447" formatCode="General">
                  <c:v>0.75817376000000003</c:v>
                </c:pt>
                <c:pt idx="448" formatCode="General">
                  <c:v>0.76064339999999997</c:v>
                </c:pt>
                <c:pt idx="449" formatCode="General">
                  <c:v>0.76311300000000004</c:v>
                </c:pt>
                <c:pt idx="450" formatCode="General">
                  <c:v>0.7655826</c:v>
                </c:pt>
                <c:pt idx="451" formatCode="General">
                  <c:v>0.76805230000000002</c:v>
                </c:pt>
                <c:pt idx="452" formatCode="General">
                  <c:v>0.77052189999999998</c:v>
                </c:pt>
                <c:pt idx="453" formatCode="General">
                  <c:v>0.77299154000000003</c:v>
                </c:pt>
                <c:pt idx="454" formatCode="General">
                  <c:v>0.77546113999999999</c:v>
                </c:pt>
                <c:pt idx="455" formatCode="General">
                  <c:v>0.77793073999999995</c:v>
                </c:pt>
                <c:pt idx="456" formatCode="General">
                  <c:v>0.78040039999999999</c:v>
                </c:pt>
                <c:pt idx="457" formatCode="General">
                  <c:v>0.78286999999999995</c:v>
                </c:pt>
                <c:pt idx="458" formatCode="General">
                  <c:v>0.78533960000000003</c:v>
                </c:pt>
                <c:pt idx="459" formatCode="General">
                  <c:v>0.78780925000000002</c:v>
                </c:pt>
                <c:pt idx="460" formatCode="General">
                  <c:v>0.79027884999999998</c:v>
                </c:pt>
                <c:pt idx="461" formatCode="General">
                  <c:v>0.79274849999999997</c:v>
                </c:pt>
                <c:pt idx="462" formatCode="General">
                  <c:v>0.79521810000000004</c:v>
                </c:pt>
                <c:pt idx="463" formatCode="General">
                  <c:v>0.7976877</c:v>
                </c:pt>
                <c:pt idx="464" formatCode="General">
                  <c:v>0.80015736999999998</c:v>
                </c:pt>
                <c:pt idx="465" formatCode="General">
                  <c:v>0.80262697000000005</c:v>
                </c:pt>
                <c:pt idx="466" formatCode="General">
                  <c:v>0.80509657000000001</c:v>
                </c:pt>
                <c:pt idx="467" formatCode="General">
                  <c:v>0.80756620000000001</c:v>
                </c:pt>
                <c:pt idx="468" formatCode="General">
                  <c:v>0.81003579999999997</c:v>
                </c:pt>
                <c:pt idx="469" formatCode="General">
                  <c:v>0.81250540000000004</c:v>
                </c:pt>
                <c:pt idx="470" formatCode="General">
                  <c:v>0.81497509999999995</c:v>
                </c:pt>
                <c:pt idx="471" formatCode="General">
                  <c:v>0.81744470000000002</c:v>
                </c:pt>
                <c:pt idx="472" formatCode="General">
                  <c:v>0.81991433999999996</c:v>
                </c:pt>
                <c:pt idx="473" formatCode="General">
                  <c:v>0.82238394000000004</c:v>
                </c:pt>
                <c:pt idx="474" formatCode="General">
                  <c:v>0.82485354</c:v>
                </c:pt>
                <c:pt idx="475" formatCode="General">
                  <c:v>0.82732320000000004</c:v>
                </c:pt>
                <c:pt idx="476" formatCode="General">
                  <c:v>0.8297928</c:v>
                </c:pt>
                <c:pt idx="477" formatCode="General">
                  <c:v>0.83226239999999996</c:v>
                </c:pt>
                <c:pt idx="478" formatCode="General">
                  <c:v>0.83473206</c:v>
                </c:pt>
                <c:pt idx="479" formatCode="General">
                  <c:v>0.83720165000000002</c:v>
                </c:pt>
                <c:pt idx="480" formatCode="General">
                  <c:v>0.83967130000000001</c:v>
                </c:pt>
                <c:pt idx="481" formatCode="General">
                  <c:v>0.84214089999999997</c:v>
                </c:pt>
                <c:pt idx="482" formatCode="General">
                  <c:v>0.84461050000000004</c:v>
                </c:pt>
                <c:pt idx="483" formatCode="General">
                  <c:v>0.84708019999999995</c:v>
                </c:pt>
                <c:pt idx="484" formatCode="General">
                  <c:v>0.84954980000000002</c:v>
                </c:pt>
                <c:pt idx="485" formatCode="General">
                  <c:v>0.85201937000000005</c:v>
                </c:pt>
                <c:pt idx="486" formatCode="General">
                  <c:v>0.85448900000000005</c:v>
                </c:pt>
                <c:pt idx="487" formatCode="General">
                  <c:v>0.85695860000000001</c:v>
                </c:pt>
                <c:pt idx="488" formatCode="General">
                  <c:v>0.85942830000000003</c:v>
                </c:pt>
                <c:pt idx="489" formatCode="General">
                  <c:v>0.86189789999999999</c:v>
                </c:pt>
                <c:pt idx="490" formatCode="General">
                  <c:v>0.86436749999999996</c:v>
                </c:pt>
                <c:pt idx="491" formatCode="General">
                  <c:v>0.86683714000000001</c:v>
                </c:pt>
                <c:pt idx="492" formatCode="General">
                  <c:v>0.86930673999999997</c:v>
                </c:pt>
                <c:pt idx="493" formatCode="General">
                  <c:v>0.87177634000000004</c:v>
                </c:pt>
                <c:pt idx="494" formatCode="General">
                  <c:v>0.87424599999999997</c:v>
                </c:pt>
                <c:pt idx="495" formatCode="General">
                  <c:v>0.87671560000000004</c:v>
                </c:pt>
                <c:pt idx="496" formatCode="General">
                  <c:v>0.87918525999999997</c:v>
                </c:pt>
                <c:pt idx="497" formatCode="General">
                  <c:v>0.88165486000000004</c:v>
                </c:pt>
                <c:pt idx="498" formatCode="General">
                  <c:v>0.88412446</c:v>
                </c:pt>
                <c:pt idx="499" formatCode="General">
                  <c:v>0.88659410000000005</c:v>
                </c:pt>
                <c:pt idx="500" formatCode="General">
                  <c:v>0.88906370000000001</c:v>
                </c:pt>
                <c:pt idx="501" formatCode="General">
                  <c:v>0.89153329999999997</c:v>
                </c:pt>
                <c:pt idx="502" formatCode="General">
                  <c:v>0.89400299999999999</c:v>
                </c:pt>
                <c:pt idx="503" formatCode="General">
                  <c:v>0.89647259999999995</c:v>
                </c:pt>
                <c:pt idx="504" formatCode="General">
                  <c:v>0.89894222999999995</c:v>
                </c:pt>
                <c:pt idx="505" formatCode="General">
                  <c:v>0.90141183000000003</c:v>
                </c:pt>
                <c:pt idx="506" formatCode="General">
                  <c:v>1.8028237</c:v>
                </c:pt>
                <c:pt idx="507" formatCode="General">
                  <c:v>2.7042356000000001</c:v>
                </c:pt>
                <c:pt idx="508" formatCode="General">
                  <c:v>3.6056473000000002</c:v>
                </c:pt>
                <c:pt idx="509" formatCode="General">
                  <c:v>4.5070589999999999</c:v>
                </c:pt>
                <c:pt idx="510" formatCode="General">
                  <c:v>5.4084709999999996</c:v>
                </c:pt>
                <c:pt idx="511" formatCode="General">
                  <c:v>6.3098825999999999</c:v>
                </c:pt>
                <c:pt idx="512" formatCode="General">
                  <c:v>7.2112946999999998</c:v>
                </c:pt>
                <c:pt idx="513" formatCode="General">
                  <c:v>8.1127059999999993</c:v>
                </c:pt>
                <c:pt idx="514" formatCode="General">
                  <c:v>9.0141179999999999</c:v>
                </c:pt>
                <c:pt idx="515" formatCode="General">
                  <c:v>9.9155300000000004</c:v>
                </c:pt>
                <c:pt idx="516" formatCode="General">
                  <c:v>10.816941999999999</c:v>
                </c:pt>
                <c:pt idx="517" formatCode="General">
                  <c:v>11.718353</c:v>
                </c:pt>
                <c:pt idx="518" formatCode="General">
                  <c:v>12.619764999999999</c:v>
                </c:pt>
                <c:pt idx="519" formatCode="General">
                  <c:v>13.521177</c:v>
                </c:pt>
                <c:pt idx="520" formatCode="General">
                  <c:v>14.422589</c:v>
                </c:pt>
                <c:pt idx="521" formatCode="General">
                  <c:v>15.324001000000001</c:v>
                </c:pt>
                <c:pt idx="522" formatCode="General">
                  <c:v>16.225411999999999</c:v>
                </c:pt>
                <c:pt idx="523" formatCode="General">
                  <c:v>17.126825</c:v>
                </c:pt>
                <c:pt idx="524" formatCode="General">
                  <c:v>18.028236</c:v>
                </c:pt>
                <c:pt idx="525" formatCode="General">
                  <c:v>18.929646999999999</c:v>
                </c:pt>
                <c:pt idx="526" formatCode="General">
                  <c:v>19.831060000000001</c:v>
                </c:pt>
                <c:pt idx="527" formatCode="General">
                  <c:v>20.732471</c:v>
                </c:pt>
                <c:pt idx="528" formatCode="General">
                  <c:v>21.633883999999998</c:v>
                </c:pt>
                <c:pt idx="529" formatCode="General">
                  <c:v>22.535295000000001</c:v>
                </c:pt>
                <c:pt idx="530" formatCode="General">
                  <c:v>23.436706999999998</c:v>
                </c:pt>
                <c:pt idx="531" formatCode="General">
                  <c:v>24.33812</c:v>
                </c:pt>
                <c:pt idx="532" formatCode="General">
                  <c:v>25.239529999999998</c:v>
                </c:pt>
                <c:pt idx="533" formatCode="General">
                  <c:v>26.140944000000001</c:v>
                </c:pt>
                <c:pt idx="534" formatCode="General">
                  <c:v>27.042355000000001</c:v>
                </c:pt>
                <c:pt idx="535" formatCode="General">
                  <c:v>27.943766</c:v>
                </c:pt>
                <c:pt idx="536" formatCode="General">
                  <c:v>28.845179000000002</c:v>
                </c:pt>
                <c:pt idx="537" formatCode="General">
                  <c:v>29.746590000000001</c:v>
                </c:pt>
                <c:pt idx="538" formatCode="General">
                  <c:v>30.648002999999999</c:v>
                </c:pt>
                <c:pt idx="539" formatCode="General">
                  <c:v>31.549413999999999</c:v>
                </c:pt>
                <c:pt idx="540" formatCode="General">
                  <c:v>32.450825000000002</c:v>
                </c:pt>
                <c:pt idx="541" formatCode="General">
                  <c:v>33.352238</c:v>
                </c:pt>
                <c:pt idx="542" formatCode="General">
                  <c:v>34.25365</c:v>
                </c:pt>
                <c:pt idx="543" formatCode="General">
                  <c:v>35.155059999999999</c:v>
                </c:pt>
                <c:pt idx="544" formatCode="General">
                  <c:v>36.056472999999997</c:v>
                </c:pt>
                <c:pt idx="545" formatCode="General">
                  <c:v>36.957886000000002</c:v>
                </c:pt>
                <c:pt idx="546" formatCode="General">
                  <c:v>37.859295000000003</c:v>
                </c:pt>
                <c:pt idx="547" formatCode="General">
                  <c:v>38.760708000000001</c:v>
                </c:pt>
                <c:pt idx="548" formatCode="General">
                  <c:v>39.662120000000002</c:v>
                </c:pt>
                <c:pt idx="549" formatCode="General">
                  <c:v>40.563533999999997</c:v>
                </c:pt>
                <c:pt idx="550" formatCode="General">
                  <c:v>41.464942999999998</c:v>
                </c:pt>
                <c:pt idx="551" formatCode="General">
                  <c:v>42.366356000000003</c:v>
                </c:pt>
                <c:pt idx="552" formatCode="General">
                  <c:v>43.267769999999999</c:v>
                </c:pt>
                <c:pt idx="553" formatCode="General">
                  <c:v>44.169178000000002</c:v>
                </c:pt>
                <c:pt idx="554" formatCode="General">
                  <c:v>45.070590000000003</c:v>
                </c:pt>
                <c:pt idx="555" formatCode="General">
                  <c:v>45.972003999999998</c:v>
                </c:pt>
                <c:pt idx="556" formatCode="General">
                  <c:v>46.873412999999999</c:v>
                </c:pt>
                <c:pt idx="557" formatCode="General">
                  <c:v>47.774825999999997</c:v>
                </c:pt>
                <c:pt idx="558" formatCode="General">
                  <c:v>48.67624</c:v>
                </c:pt>
                <c:pt idx="559" formatCode="General">
                  <c:v>49.577652</c:v>
                </c:pt>
                <c:pt idx="560" formatCode="General">
                  <c:v>50.479059999999997</c:v>
                </c:pt>
                <c:pt idx="561" formatCode="General">
                  <c:v>51.380474</c:v>
                </c:pt>
                <c:pt idx="562" formatCode="General">
                  <c:v>52.281886999999998</c:v>
                </c:pt>
                <c:pt idx="563" formatCode="General">
                  <c:v>53.183295999999999</c:v>
                </c:pt>
                <c:pt idx="564" formatCode="General">
                  <c:v>54.084710000000001</c:v>
                </c:pt>
                <c:pt idx="565" formatCode="General">
                  <c:v>54.986122000000002</c:v>
                </c:pt>
                <c:pt idx="566" formatCode="General">
                  <c:v>55.887529999999998</c:v>
                </c:pt>
                <c:pt idx="567" formatCode="General">
                  <c:v>56.788944000000001</c:v>
                </c:pt>
                <c:pt idx="568" formatCode="General">
                  <c:v>57.690356999999999</c:v>
                </c:pt>
                <c:pt idx="569" formatCode="General">
                  <c:v>58.591769999999997</c:v>
                </c:pt>
                <c:pt idx="570" formatCode="General">
                  <c:v>59.493180000000002</c:v>
                </c:pt>
                <c:pt idx="571" formatCode="General">
                  <c:v>60.394592000000003</c:v>
                </c:pt>
                <c:pt idx="572" formatCode="General">
                  <c:v>61.296005000000001</c:v>
                </c:pt>
                <c:pt idx="573" formatCode="General">
                  <c:v>62.197414000000002</c:v>
                </c:pt>
                <c:pt idx="574" formatCode="General">
                  <c:v>63.098827</c:v>
                </c:pt>
                <c:pt idx="575" formatCode="General">
                  <c:v>64.000240000000005</c:v>
                </c:pt>
                <c:pt idx="576" formatCode="General">
                  <c:v>64.901650000000004</c:v>
                </c:pt>
                <c:pt idx="577" formatCode="General">
                  <c:v>65.803060000000002</c:v>
                </c:pt>
                <c:pt idx="578" formatCode="General">
                  <c:v>66.704475000000002</c:v>
                </c:pt>
                <c:pt idx="579" formatCode="General">
                  <c:v>67.605890000000002</c:v>
                </c:pt>
                <c:pt idx="580" formatCode="General">
                  <c:v>68.507300000000001</c:v>
                </c:pt>
                <c:pt idx="581" formatCode="General">
                  <c:v>69.408714000000003</c:v>
                </c:pt>
                <c:pt idx="582" formatCode="General">
                  <c:v>70.310119999999998</c:v>
                </c:pt>
                <c:pt idx="583" formatCode="General">
                  <c:v>71.211529999999996</c:v>
                </c:pt>
                <c:pt idx="584" formatCode="General">
                  <c:v>72.112945999999994</c:v>
                </c:pt>
                <c:pt idx="585" formatCode="General">
                  <c:v>73.014359999999996</c:v>
                </c:pt>
                <c:pt idx="586" formatCode="General">
                  <c:v>73.915769999999995</c:v>
                </c:pt>
                <c:pt idx="587" formatCode="General">
                  <c:v>74.817183999999997</c:v>
                </c:pt>
                <c:pt idx="588" formatCode="General">
                  <c:v>75.718590000000006</c:v>
                </c:pt>
                <c:pt idx="589" formatCode="General">
                  <c:v>76.62</c:v>
                </c:pt>
                <c:pt idx="590" formatCode="General">
                  <c:v>77.521416000000002</c:v>
                </c:pt>
                <c:pt idx="591" formatCode="General">
                  <c:v>78.422830000000005</c:v>
                </c:pt>
                <c:pt idx="592" formatCode="General">
                  <c:v>79.324240000000003</c:v>
                </c:pt>
                <c:pt idx="593" formatCode="General">
                  <c:v>80.225655000000003</c:v>
                </c:pt>
                <c:pt idx="594" formatCode="General">
                  <c:v>81.127070000000003</c:v>
                </c:pt>
                <c:pt idx="595" formatCode="General">
                  <c:v>82.028469999999999</c:v>
                </c:pt>
                <c:pt idx="596" formatCode="General">
                  <c:v>82.929885999999996</c:v>
                </c:pt>
                <c:pt idx="597" formatCode="General">
                  <c:v>83.831299999999999</c:v>
                </c:pt>
                <c:pt idx="598" formatCode="General">
                  <c:v>84.732709999999997</c:v>
                </c:pt>
                <c:pt idx="599" formatCode="General">
                  <c:v>85.634124999999997</c:v>
                </c:pt>
                <c:pt idx="600" formatCode="General">
                  <c:v>86.535539999999997</c:v>
                </c:pt>
                <c:pt idx="601" formatCode="General">
                  <c:v>87.436949999999996</c:v>
                </c:pt>
                <c:pt idx="602" formatCode="General">
                  <c:v>88.338356000000005</c:v>
                </c:pt>
                <c:pt idx="603" formatCode="General">
                  <c:v>89.239769999999993</c:v>
                </c:pt>
                <c:pt idx="604" formatCode="General">
                  <c:v>90.141180000000006</c:v>
                </c:pt>
                <c:pt idx="605" formatCode="General">
                  <c:v>91.042595000000006</c:v>
                </c:pt>
                <c:pt idx="606" formatCode="General">
                  <c:v>91.944010000000006</c:v>
                </c:pt>
                <c:pt idx="607" formatCode="General">
                  <c:v>92.845420000000004</c:v>
                </c:pt>
                <c:pt idx="608" formatCode="General">
                  <c:v>93.746825999999999</c:v>
                </c:pt>
                <c:pt idx="609" formatCode="General">
                  <c:v>94.648240000000001</c:v>
                </c:pt>
                <c:pt idx="610" formatCode="General">
                  <c:v>95.54965</c:v>
                </c:pt>
                <c:pt idx="611" formatCode="General">
                  <c:v>96.451065</c:v>
                </c:pt>
                <c:pt idx="612" formatCode="General">
                  <c:v>97.35248</c:v>
                </c:pt>
                <c:pt idx="613" formatCode="General">
                  <c:v>98.253889999999998</c:v>
                </c:pt>
                <c:pt idx="614" formatCode="General">
                  <c:v>99.155304000000001</c:v>
                </c:pt>
                <c:pt idx="615" formatCode="General">
                  <c:v>100.05671</c:v>
                </c:pt>
                <c:pt idx="616" formatCode="General">
                  <c:v>100.95811999999999</c:v>
                </c:pt>
                <c:pt idx="617" formatCode="General">
                  <c:v>101.85953499999999</c:v>
                </c:pt>
                <c:pt idx="618" formatCode="General">
                  <c:v>102.76094999999999</c:v>
                </c:pt>
                <c:pt idx="619" formatCode="General">
                  <c:v>103.66236000000001</c:v>
                </c:pt>
                <c:pt idx="620" formatCode="General">
                  <c:v>104.563774</c:v>
                </c:pt>
                <c:pt idx="621" formatCode="General">
                  <c:v>105.46519000000001</c:v>
                </c:pt>
                <c:pt idx="622" formatCode="General">
                  <c:v>106.36659</c:v>
                </c:pt>
                <c:pt idx="623" formatCode="General">
                  <c:v>107.268005</c:v>
                </c:pt>
                <c:pt idx="624" formatCode="General">
                  <c:v>108.16942</c:v>
                </c:pt>
                <c:pt idx="625" formatCode="General">
                  <c:v>109.07083</c:v>
                </c:pt>
                <c:pt idx="626" formatCode="General">
                  <c:v>109.972244</c:v>
                </c:pt>
                <c:pt idx="627" formatCode="General">
                  <c:v>110.87366</c:v>
                </c:pt>
                <c:pt idx="628" formatCode="General">
                  <c:v>111.77506</c:v>
                </c:pt>
                <c:pt idx="629" formatCode="General">
                  <c:v>112.67647599999999</c:v>
                </c:pt>
                <c:pt idx="630" formatCode="General">
                  <c:v>113.57789</c:v>
                </c:pt>
                <c:pt idx="631" formatCode="General">
                  <c:v>114.47929999999999</c:v>
                </c:pt>
                <c:pt idx="632" formatCode="General">
                  <c:v>115.380714</c:v>
                </c:pt>
                <c:pt idx="633" formatCode="General">
                  <c:v>116.28213</c:v>
                </c:pt>
                <c:pt idx="634" formatCode="General">
                  <c:v>117.18353999999999</c:v>
                </c:pt>
                <c:pt idx="635" formatCode="General">
                  <c:v>118.084946</c:v>
                </c:pt>
                <c:pt idx="636" formatCode="General">
                  <c:v>118.98636</c:v>
                </c:pt>
                <c:pt idx="637" formatCode="General">
                  <c:v>119.88777</c:v>
                </c:pt>
                <c:pt idx="638" formatCode="General">
                  <c:v>120.789185</c:v>
                </c:pt>
                <c:pt idx="639" formatCode="General">
                  <c:v>121.6906</c:v>
                </c:pt>
                <c:pt idx="640" formatCode="General">
                  <c:v>122.59201</c:v>
                </c:pt>
                <c:pt idx="641" formatCode="General">
                  <c:v>123.49342</c:v>
                </c:pt>
                <c:pt idx="642" formatCode="General">
                  <c:v>124.39483</c:v>
                </c:pt>
                <c:pt idx="643" formatCode="General">
                  <c:v>125.29624</c:v>
                </c:pt>
                <c:pt idx="644" formatCode="General">
                  <c:v>126.197655</c:v>
                </c:pt>
                <c:pt idx="645" formatCode="General">
                  <c:v>127.09907</c:v>
                </c:pt>
                <c:pt idx="646" formatCode="General">
                  <c:v>128.00047000000001</c:v>
                </c:pt>
                <c:pt idx="647" formatCode="General">
                  <c:v>128.90189000000001</c:v>
                </c:pt>
                <c:pt idx="648" formatCode="General">
                  <c:v>129.80330000000001</c:v>
                </c:pt>
                <c:pt idx="649" formatCode="General">
                  <c:v>130.70471000000001</c:v>
                </c:pt>
                <c:pt idx="650" formatCode="General">
                  <c:v>131.60612</c:v>
                </c:pt>
                <c:pt idx="651" formatCode="General">
                  <c:v>132.50754000000001</c:v>
                </c:pt>
                <c:pt idx="652" formatCode="General">
                  <c:v>133.40895</c:v>
                </c:pt>
                <c:pt idx="653" formatCode="General">
                  <c:v>134.31036</c:v>
                </c:pt>
                <c:pt idx="654" formatCode="General">
                  <c:v>135.21178</c:v>
                </c:pt>
              </c:numCache>
            </c:numRef>
          </c:xVal>
          <c:yVal>
            <c:numRef>
              <c:f>MIFT!$C$3:$C$657</c:f>
              <c:numCache>
                <c:formatCode>General</c:formatCode>
                <c:ptCount val="655"/>
                <c:pt idx="0">
                  <c:v>-0.71785832200409228</c:v>
                </c:pt>
                <c:pt idx="1">
                  <c:v>-0.70809252200409234</c:v>
                </c:pt>
                <c:pt idx="2">
                  <c:v>-0.70013255200409219</c:v>
                </c:pt>
                <c:pt idx="3">
                  <c:v>-0.69388768200409223</c:v>
                </c:pt>
                <c:pt idx="4">
                  <c:v>-0.6884551420040923</c:v>
                </c:pt>
                <c:pt idx="5">
                  <c:v>-0.68396462200409225</c:v>
                </c:pt>
                <c:pt idx="6">
                  <c:v>-0.67955715200409228</c:v>
                </c:pt>
                <c:pt idx="7">
                  <c:v>-0.67555322200409229</c:v>
                </c:pt>
                <c:pt idx="8">
                  <c:v>-0.67195276200409226</c:v>
                </c:pt>
                <c:pt idx="9">
                  <c:v>-0.66898922200409228</c:v>
                </c:pt>
                <c:pt idx="10">
                  <c:v>-0.66649679200409229</c:v>
                </c:pt>
                <c:pt idx="11">
                  <c:v>-0.6640043620040923</c:v>
                </c:pt>
                <c:pt idx="12">
                  <c:v>-0.66151192200409226</c:v>
                </c:pt>
                <c:pt idx="13">
                  <c:v>-0.65901952200409231</c:v>
                </c:pt>
                <c:pt idx="14">
                  <c:v>-0.6565270220040923</c:v>
                </c:pt>
                <c:pt idx="15">
                  <c:v>-0.65416942200409223</c:v>
                </c:pt>
                <c:pt idx="16">
                  <c:v>-0.65201405200409224</c:v>
                </c:pt>
                <c:pt idx="17">
                  <c:v>-0.64985862200409228</c:v>
                </c:pt>
                <c:pt idx="18">
                  <c:v>-0.64770326200409223</c:v>
                </c:pt>
                <c:pt idx="19">
                  <c:v>-0.64554782200409222</c:v>
                </c:pt>
                <c:pt idx="20">
                  <c:v>-0.64339248200409227</c:v>
                </c:pt>
                <c:pt idx="21">
                  <c:v>-0.64134312200409227</c:v>
                </c:pt>
                <c:pt idx="22">
                  <c:v>-0.63945279200409222</c:v>
                </c:pt>
                <c:pt idx="23">
                  <c:v>-0.6375624220040923</c:v>
                </c:pt>
                <c:pt idx="24">
                  <c:v>-0.63567212200409229</c:v>
                </c:pt>
                <c:pt idx="25">
                  <c:v>-0.63378176200409231</c:v>
                </c:pt>
                <c:pt idx="26">
                  <c:v>-0.6318914620040923</c:v>
                </c:pt>
                <c:pt idx="27">
                  <c:v>-0.6300324520040923</c:v>
                </c:pt>
                <c:pt idx="28">
                  <c:v>-0.62823776200409231</c:v>
                </c:pt>
                <c:pt idx="29">
                  <c:v>-0.62646752200409228</c:v>
                </c:pt>
                <c:pt idx="30">
                  <c:v>-0.62472182200409232</c:v>
                </c:pt>
                <c:pt idx="31">
                  <c:v>-0.62300062200409223</c:v>
                </c:pt>
                <c:pt idx="32">
                  <c:v>-0.62130392200409224</c:v>
                </c:pt>
                <c:pt idx="33">
                  <c:v>-0.61963502200409226</c:v>
                </c:pt>
                <c:pt idx="34">
                  <c:v>-0.6179973220040923</c:v>
                </c:pt>
                <c:pt idx="35">
                  <c:v>-0.61638672200409228</c:v>
                </c:pt>
                <c:pt idx="36">
                  <c:v>-0.61480317200409229</c:v>
                </c:pt>
                <c:pt idx="37">
                  <c:v>-0.61324672200409225</c:v>
                </c:pt>
                <c:pt idx="38">
                  <c:v>-0.61171732200409223</c:v>
                </c:pt>
                <c:pt idx="39">
                  <c:v>-0.61020942200409223</c:v>
                </c:pt>
                <c:pt idx="40">
                  <c:v>-0.60871732200409223</c:v>
                </c:pt>
                <c:pt idx="41">
                  <c:v>-0.60724786200409231</c:v>
                </c:pt>
                <c:pt idx="42">
                  <c:v>-0.60580122200409225</c:v>
                </c:pt>
                <c:pt idx="43">
                  <c:v>-0.60437732200409222</c:v>
                </c:pt>
                <c:pt idx="44">
                  <c:v>-0.60297606200409226</c:v>
                </c:pt>
                <c:pt idx="45">
                  <c:v>-0.60159292200409231</c:v>
                </c:pt>
                <c:pt idx="46">
                  <c:v>-0.60022282200409227</c:v>
                </c:pt>
                <c:pt idx="47">
                  <c:v>-0.59887172200409222</c:v>
                </c:pt>
                <c:pt idx="48">
                  <c:v>-0.59753972200409222</c:v>
                </c:pt>
                <c:pt idx="49">
                  <c:v>-0.59622672200409221</c:v>
                </c:pt>
                <c:pt idx="50">
                  <c:v>-0.59493282200409225</c:v>
                </c:pt>
                <c:pt idx="51">
                  <c:v>-0.59365556200409231</c:v>
                </c:pt>
                <c:pt idx="52">
                  <c:v>-0.59239162200409223</c:v>
                </c:pt>
                <c:pt idx="53">
                  <c:v>-0.59114346200409229</c:v>
                </c:pt>
                <c:pt idx="54">
                  <c:v>-0.58991052200409222</c:v>
                </c:pt>
                <c:pt idx="55">
                  <c:v>-0.58869246200409231</c:v>
                </c:pt>
                <c:pt idx="56">
                  <c:v>-0.58748868200409232</c:v>
                </c:pt>
                <c:pt idx="57">
                  <c:v>-0.58629852200409227</c:v>
                </c:pt>
                <c:pt idx="58">
                  <c:v>-0.58512072200409226</c:v>
                </c:pt>
                <c:pt idx="59">
                  <c:v>-0.58395542200409223</c:v>
                </c:pt>
                <c:pt idx="60">
                  <c:v>-0.53284648200409224</c:v>
                </c:pt>
                <c:pt idx="61">
                  <c:v>-0.49439742200409231</c:v>
                </c:pt>
                <c:pt idx="62">
                  <c:v>-0.46269372200409231</c:v>
                </c:pt>
                <c:pt idx="63">
                  <c:v>-0.43785379200409225</c:v>
                </c:pt>
                <c:pt idx="64">
                  <c:v>-0.41352072200409229</c:v>
                </c:pt>
                <c:pt idx="65">
                  <c:v>-0.39277175200409231</c:v>
                </c:pt>
                <c:pt idx="66">
                  <c:v>-0.37276069200409223</c:v>
                </c:pt>
                <c:pt idx="67">
                  <c:v>-0.3548096720040923</c:v>
                </c:pt>
                <c:pt idx="68">
                  <c:v>-0.33762607200409223</c:v>
                </c:pt>
                <c:pt idx="69">
                  <c:v>-0.32244412200409223</c:v>
                </c:pt>
                <c:pt idx="70">
                  <c:v>-0.30844822200409228</c:v>
                </c:pt>
                <c:pt idx="71">
                  <c:v>-0.29445232200409222</c:v>
                </c:pt>
                <c:pt idx="72">
                  <c:v>-0.28045646200409224</c:v>
                </c:pt>
                <c:pt idx="73">
                  <c:v>-0.26732156200409229</c:v>
                </c:pt>
                <c:pt idx="74">
                  <c:v>-0.25534407200409226</c:v>
                </c:pt>
                <c:pt idx="75">
                  <c:v>-0.24336657200409229</c:v>
                </c:pt>
                <c:pt idx="76">
                  <c:v>-0.23138908200409225</c:v>
                </c:pt>
                <c:pt idx="77">
                  <c:v>-0.21972648200409228</c:v>
                </c:pt>
                <c:pt idx="78">
                  <c:v>-0.2091470220040923</c:v>
                </c:pt>
                <c:pt idx="79">
                  <c:v>-0.19856752200409222</c:v>
                </c:pt>
                <c:pt idx="80">
                  <c:v>-0.18798808200409223</c:v>
                </c:pt>
                <c:pt idx="81">
                  <c:v>-0.17741782200409228</c:v>
                </c:pt>
                <c:pt idx="82">
                  <c:v>-0.16731302200409237</c:v>
                </c:pt>
                <c:pt idx="83">
                  <c:v>-0.15738922200409222</c:v>
                </c:pt>
                <c:pt idx="84">
                  <c:v>-0.14764622200409216</c:v>
                </c:pt>
                <c:pt idx="85">
                  <c:v>-0.13808412200409226</c:v>
                </c:pt>
                <c:pt idx="86">
                  <c:v>-0.12870292200409228</c:v>
                </c:pt>
                <c:pt idx="87">
                  <c:v>-0.11950292200409218</c:v>
                </c:pt>
                <c:pt idx="88">
                  <c:v>-0.11050242200409222</c:v>
                </c:pt>
                <c:pt idx="89">
                  <c:v>-0.10168822200409222</c:v>
                </c:pt>
                <c:pt idx="90">
                  <c:v>-9.3060022004092247E-2</c:v>
                </c:pt>
                <c:pt idx="91">
                  <c:v>-8.4618222004092303E-2</c:v>
                </c:pt>
                <c:pt idx="92">
                  <c:v>-7.6362722004092332E-2</c:v>
                </c:pt>
                <c:pt idx="93">
                  <c:v>-6.8290622004092194E-2</c:v>
                </c:pt>
                <c:pt idx="94">
                  <c:v>-6.0272622004092336E-2</c:v>
                </c:pt>
                <c:pt idx="95">
                  <c:v>-5.2402622004092292E-2</c:v>
                </c:pt>
                <c:pt idx="96">
                  <c:v>-4.4680522004092227E-2</c:v>
                </c:pt>
                <c:pt idx="97">
                  <c:v>-3.7106322004092362E-2</c:v>
                </c:pt>
                <c:pt idx="98">
                  <c:v>-2.9680022004092255E-2</c:v>
                </c:pt>
                <c:pt idx="99">
                  <c:v>-2.2399422004092173E-2</c:v>
                </c:pt>
                <c:pt idx="100">
                  <c:v>-1.5155822004092379E-2</c:v>
                </c:pt>
                <c:pt idx="101">
                  <c:v>-8.0278220040923554E-3</c:v>
                </c:pt>
                <c:pt idx="102">
                  <c:v>-1.0157220040922788E-3</c:v>
                </c:pt>
                <c:pt idx="103">
                  <c:v>5.880677995907746E-3</c:v>
                </c:pt>
                <c:pt idx="104">
                  <c:v>1.2661177995907824E-2</c:v>
                </c:pt>
                <c:pt idx="105">
                  <c:v>1.9327677995907733E-2</c:v>
                </c:pt>
                <c:pt idx="106">
                  <c:v>2.5956877995907623E-2</c:v>
                </c:pt>
                <c:pt idx="107">
                  <c:v>3.2492977995907779E-2</c:v>
                </c:pt>
                <c:pt idx="108">
                  <c:v>3.8935977995907756E-2</c:v>
                </c:pt>
                <c:pt idx="109">
                  <c:v>4.5285977995907833E-2</c:v>
                </c:pt>
                <c:pt idx="110">
                  <c:v>5.1542977995907791E-2</c:v>
                </c:pt>
                <c:pt idx="111">
                  <c:v>5.7708077995907825E-2</c:v>
                </c:pt>
                <c:pt idx="112">
                  <c:v>6.3836677995907642E-2</c:v>
                </c:pt>
                <c:pt idx="113">
                  <c:v>6.9888577995907752E-2</c:v>
                </c:pt>
                <c:pt idx="114">
                  <c:v>7.5863777995907711E-2</c:v>
                </c:pt>
                <c:pt idx="115">
                  <c:v>8.1762377995907798E-2</c:v>
                </c:pt>
                <c:pt idx="116">
                  <c:v>8.7584377995907792E-2</c:v>
                </c:pt>
                <c:pt idx="117">
                  <c:v>9.3329977995907809E-2</c:v>
                </c:pt>
                <c:pt idx="118">
                  <c:v>9.9019277995907817E-2</c:v>
                </c:pt>
                <c:pt idx="119">
                  <c:v>0.36427127799590764</c:v>
                </c:pt>
                <c:pt idx="120">
                  <c:v>0.54046247799590774</c:v>
                </c:pt>
                <c:pt idx="121">
                  <c:v>0.67528557799590772</c:v>
                </c:pt>
                <c:pt idx="122">
                  <c:v>0.78157777799590766</c:v>
                </c:pt>
                <c:pt idx="123">
                  <c:v>0.86981297799590762</c:v>
                </c:pt>
                <c:pt idx="124">
                  <c:v>0.94553517799590758</c:v>
                </c:pt>
                <c:pt idx="125">
                  <c:v>1.0119395779959077</c:v>
                </c:pt>
                <c:pt idx="126">
                  <c:v>1.0708591779959076</c:v>
                </c:pt>
                <c:pt idx="127">
                  <c:v>1.1235360779959078</c:v>
                </c:pt>
                <c:pt idx="128">
                  <c:v>1.1710473779959079</c:v>
                </c:pt>
                <c:pt idx="129">
                  <c:v>1.2143141779959079</c:v>
                </c:pt>
                <c:pt idx="130">
                  <c:v>1.2543135779959076</c:v>
                </c:pt>
                <c:pt idx="131">
                  <c:v>1.2911735779959079</c:v>
                </c:pt>
                <c:pt idx="132">
                  <c:v>1.3255221779959079</c:v>
                </c:pt>
                <c:pt idx="133">
                  <c:v>1.3577367779959075</c:v>
                </c:pt>
                <c:pt idx="134">
                  <c:v>1.3879672779959076</c:v>
                </c:pt>
                <c:pt idx="135">
                  <c:v>1.4166688779959078</c:v>
                </c:pt>
                <c:pt idx="136">
                  <c:v>1.4436855779959077</c:v>
                </c:pt>
                <c:pt idx="137">
                  <c:v>1.4693729779959079</c:v>
                </c:pt>
                <c:pt idx="138">
                  <c:v>1.4937757779959078</c:v>
                </c:pt>
                <c:pt idx="139">
                  <c:v>1.5169795779959079</c:v>
                </c:pt>
                <c:pt idx="140">
                  <c:v>1.5391311779959078</c:v>
                </c:pt>
                <c:pt idx="141">
                  <c:v>1.5602883779959076</c:v>
                </c:pt>
                <c:pt idx="142">
                  <c:v>1.9250865779959077</c:v>
                </c:pt>
                <c:pt idx="143">
                  <c:v>2.1301005779959077</c:v>
                </c:pt>
                <c:pt idx="144">
                  <c:v>2.2856091779959078</c:v>
                </c:pt>
                <c:pt idx="145">
                  <c:v>2.4170889779959079</c:v>
                </c:pt>
                <c:pt idx="146">
                  <c:v>2.5353566779959076</c:v>
                </c:pt>
                <c:pt idx="147">
                  <c:v>2.6422323779959074</c:v>
                </c:pt>
                <c:pt idx="148">
                  <c:v>2.7413892779959079</c:v>
                </c:pt>
                <c:pt idx="149">
                  <c:v>2.8342435779959079</c:v>
                </c:pt>
                <c:pt idx="150">
                  <c:v>2.9214035779959078</c:v>
                </c:pt>
                <c:pt idx="151">
                  <c:v>3.0040465779959078</c:v>
                </c:pt>
                <c:pt idx="152">
                  <c:v>3.0828885779959077</c:v>
                </c:pt>
                <c:pt idx="153">
                  <c:v>3.1591965779959077</c:v>
                </c:pt>
                <c:pt idx="154">
                  <c:v>3.2330581779959076</c:v>
                </c:pt>
                <c:pt idx="155">
                  <c:v>3.3049135779959071</c:v>
                </c:pt>
                <c:pt idx="156">
                  <c:v>3.3750469779959076</c:v>
                </c:pt>
                <c:pt idx="157">
                  <c:v>3.4436455779959072</c:v>
                </c:pt>
                <c:pt idx="158">
                  <c:v>3.5107885779959078</c:v>
                </c:pt>
                <c:pt idx="159">
                  <c:v>3.5766605779959075</c:v>
                </c:pt>
                <c:pt idx="160">
                  <c:v>3.6413661779959074</c:v>
                </c:pt>
                <c:pt idx="161">
                  <c:v>3.7050445779959071</c:v>
                </c:pt>
                <c:pt idx="162">
                  <c:v>3.7677995779959073</c:v>
                </c:pt>
                <c:pt idx="163">
                  <c:v>3.8297731779959072</c:v>
                </c:pt>
                <c:pt idx="164">
                  <c:v>3.8910985779959075</c:v>
                </c:pt>
                <c:pt idx="165">
                  <c:v>3.9518995779959072</c:v>
                </c:pt>
                <c:pt idx="166">
                  <c:v>4.0120350779959075</c:v>
                </c:pt>
                <c:pt idx="167">
                  <c:v>4.0715405779959077</c:v>
                </c:pt>
                <c:pt idx="168">
                  <c:v>4.1304165779959074</c:v>
                </c:pt>
                <c:pt idx="169">
                  <c:v>4.1886631779959078</c:v>
                </c:pt>
                <c:pt idx="170">
                  <c:v>4.2462798779959074</c:v>
                </c:pt>
                <c:pt idx="171">
                  <c:v>4.3032671779959077</c:v>
                </c:pt>
                <c:pt idx="172">
                  <c:v>4.3596379779959076</c:v>
                </c:pt>
                <c:pt idx="173">
                  <c:v>4.4155008779959077</c:v>
                </c:pt>
                <c:pt idx="174">
                  <c:v>4.4707665779959074</c:v>
                </c:pt>
                <c:pt idx="175">
                  <c:v>4.5254365779959072</c:v>
                </c:pt>
                <c:pt idx="176">
                  <c:v>4.5795095779959079</c:v>
                </c:pt>
                <c:pt idx="177">
                  <c:v>4.6329862779959079</c:v>
                </c:pt>
                <c:pt idx="178">
                  <c:v>4.6858660779959074</c:v>
                </c:pt>
                <c:pt idx="179">
                  <c:v>4.7382265779959072</c:v>
                </c:pt>
                <c:pt idx="180">
                  <c:v>4.7904698779959078</c:v>
                </c:pt>
                <c:pt idx="181">
                  <c:v>4.8422509779959073</c:v>
                </c:pt>
                <c:pt idx="182">
                  <c:v>4.8935701779959073</c:v>
                </c:pt>
                <c:pt idx="183">
                  <c:v>4.9444265779959071</c:v>
                </c:pt>
                <c:pt idx="184">
                  <c:v>4.9948215779959071</c:v>
                </c:pt>
                <c:pt idx="185">
                  <c:v>5.0447545779959073</c:v>
                </c:pt>
                <c:pt idx="186">
                  <c:v>5.0942255779959078</c:v>
                </c:pt>
                <c:pt idx="187">
                  <c:v>5.1432345779959077</c:v>
                </c:pt>
                <c:pt idx="188">
                  <c:v>5.1917812779959078</c:v>
                </c:pt>
                <c:pt idx="189">
                  <c:v>5.2398659779959074</c:v>
                </c:pt>
                <c:pt idx="190">
                  <c:v>5.2874885779959078</c:v>
                </c:pt>
                <c:pt idx="191">
                  <c:v>5.3346495779959078</c:v>
                </c:pt>
                <c:pt idx="192">
                  <c:v>5.3813483779959075</c:v>
                </c:pt>
                <c:pt idx="193">
                  <c:v>5.4276805779959076</c:v>
                </c:pt>
                <c:pt idx="194">
                  <c:v>5.4738451779959076</c:v>
                </c:pt>
                <c:pt idx="195">
                  <c:v>5.5195975779959072</c:v>
                </c:pt>
                <c:pt idx="196">
                  <c:v>5.5649391779959076</c:v>
                </c:pt>
                <c:pt idx="197">
                  <c:v>5.6098685779959077</c:v>
                </c:pt>
                <c:pt idx="198">
                  <c:v>5.6543871779959076</c:v>
                </c:pt>
                <c:pt idx="199">
                  <c:v>5.6984935779959072</c:v>
                </c:pt>
                <c:pt idx="200">
                  <c:v>5.7421891779959076</c:v>
                </c:pt>
                <c:pt idx="201">
                  <c:v>5.7854725779959075</c:v>
                </c:pt>
                <c:pt idx="202">
                  <c:v>5.8283449779959078</c:v>
                </c:pt>
                <c:pt idx="203">
                  <c:v>5.8708055779959079</c:v>
                </c:pt>
                <c:pt idx="204">
                  <c:v>5.9129010779959073</c:v>
                </c:pt>
                <c:pt idx="205">
                  <c:v>5.9550220779959071</c:v>
                </c:pt>
                <c:pt idx="206">
                  <c:v>5.9968095779959079</c:v>
                </c:pt>
                <c:pt idx="207">
                  <c:v>6.0382635779959077</c:v>
                </c:pt>
                <c:pt idx="208">
                  <c:v>6.0793845779959073</c:v>
                </c:pt>
                <c:pt idx="209">
                  <c:v>6.1201715779959072</c:v>
                </c:pt>
                <c:pt idx="210">
                  <c:v>6.1606255779959076</c:v>
                </c:pt>
                <c:pt idx="211">
                  <c:v>6.2007462779959077</c:v>
                </c:pt>
                <c:pt idx="212">
                  <c:v>6.2405335779959072</c:v>
                </c:pt>
                <c:pt idx="213">
                  <c:v>6.2799870779959077</c:v>
                </c:pt>
                <c:pt idx="214">
                  <c:v>6.3191072779959079</c:v>
                </c:pt>
                <c:pt idx="215">
                  <c:v>6.3578945779959071</c:v>
                </c:pt>
                <c:pt idx="216">
                  <c:v>6.3965885779959075</c:v>
                </c:pt>
                <c:pt idx="217">
                  <c:v>6.4350055779959074</c:v>
                </c:pt>
                <c:pt idx="218">
                  <c:v>6.4731305779959074</c:v>
                </c:pt>
                <c:pt idx="219">
                  <c:v>6.5109645779959076</c:v>
                </c:pt>
                <c:pt idx="220">
                  <c:v>6.5485075779959079</c:v>
                </c:pt>
                <c:pt idx="221">
                  <c:v>6.5857588779959073</c:v>
                </c:pt>
                <c:pt idx="222">
                  <c:v>6.6227195779959072</c:v>
                </c:pt>
                <c:pt idx="223">
                  <c:v>6.6593885779959079</c:v>
                </c:pt>
                <c:pt idx="224">
                  <c:v>6.6957665779959079</c:v>
                </c:pt>
                <c:pt idx="225">
                  <c:v>6.7318535779959072</c:v>
                </c:pt>
                <c:pt idx="226">
                  <c:v>6.7676495779959076</c:v>
                </c:pt>
                <c:pt idx="227">
                  <c:v>6.8033258779959072</c:v>
                </c:pt>
                <c:pt idx="228">
                  <c:v>6.8387925779959078</c:v>
                </c:pt>
                <c:pt idx="229">
                  <c:v>6.8740045779959074</c:v>
                </c:pt>
                <c:pt idx="230">
                  <c:v>6.908962577995907</c:v>
                </c:pt>
                <c:pt idx="231">
                  <c:v>6.9436675779959076</c:v>
                </c:pt>
                <c:pt idx="232">
                  <c:v>6.978116577995908</c:v>
                </c:pt>
                <c:pt idx="233">
                  <c:v>7.0123125779959077</c:v>
                </c:pt>
                <c:pt idx="234">
                  <c:v>7.0462535779959081</c:v>
                </c:pt>
                <c:pt idx="235">
                  <c:v>7.0799405779959068</c:v>
                </c:pt>
                <c:pt idx="236">
                  <c:v>7.1133735779959073</c:v>
                </c:pt>
                <c:pt idx="237">
                  <c:v>7.1465515779959068</c:v>
                </c:pt>
                <c:pt idx="238">
                  <c:v>7.1795365779959068</c:v>
                </c:pt>
                <c:pt idx="239">
                  <c:v>7.2123235779959076</c:v>
                </c:pt>
                <c:pt idx="240">
                  <c:v>7.244884577995907</c:v>
                </c:pt>
                <c:pt idx="241">
                  <c:v>7.2772205779959078</c:v>
                </c:pt>
                <c:pt idx="242">
                  <c:v>7.3093345779959078</c:v>
                </c:pt>
                <c:pt idx="243">
                  <c:v>7.341227577995908</c:v>
                </c:pt>
                <c:pt idx="244">
                  <c:v>7.3729025779959079</c:v>
                </c:pt>
                <c:pt idx="245">
                  <c:v>7.404362577995907</c:v>
                </c:pt>
                <c:pt idx="246">
                  <c:v>7.4356075779959072</c:v>
                </c:pt>
                <c:pt idx="247">
                  <c:v>7.4666415779959072</c:v>
                </c:pt>
                <c:pt idx="248">
                  <c:v>7.497464577995907</c:v>
                </c:pt>
                <c:pt idx="249">
                  <c:v>7.5280815779959083</c:v>
                </c:pt>
                <c:pt idx="250">
                  <c:v>7.5584925779959073</c:v>
                </c:pt>
                <c:pt idx="251">
                  <c:v>7.5887005779959074</c:v>
                </c:pt>
                <c:pt idx="252">
                  <c:v>7.6187085779959078</c:v>
                </c:pt>
                <c:pt idx="253">
                  <c:v>7.648516577995907</c:v>
                </c:pt>
                <c:pt idx="254">
                  <c:v>7.6781275779959079</c:v>
                </c:pt>
                <c:pt idx="255">
                  <c:v>7.7075445779959066</c:v>
                </c:pt>
                <c:pt idx="256">
                  <c:v>7.7367695779959069</c:v>
                </c:pt>
                <c:pt idx="257">
                  <c:v>7.765803577995908</c:v>
                </c:pt>
                <c:pt idx="258">
                  <c:v>7.794650577995907</c:v>
                </c:pt>
                <c:pt idx="259">
                  <c:v>7.8233115779959084</c:v>
                </c:pt>
                <c:pt idx="260">
                  <c:v>7.8517925779959077</c:v>
                </c:pt>
                <c:pt idx="261">
                  <c:v>7.8801065779959076</c:v>
                </c:pt>
                <c:pt idx="262">
                  <c:v>7.9082425779959076</c:v>
                </c:pt>
                <c:pt idx="263">
                  <c:v>7.9362055779959073</c:v>
                </c:pt>
                <c:pt idx="264">
                  <c:v>7.9639945779959076</c:v>
                </c:pt>
                <c:pt idx="265">
                  <c:v>7.9916145779959082</c:v>
                </c:pt>
                <c:pt idx="266">
                  <c:v>8.0190665779959076</c:v>
                </c:pt>
                <c:pt idx="267">
                  <c:v>8.0463535779959088</c:v>
                </c:pt>
                <c:pt idx="268">
                  <c:v>8.0734775779959076</c:v>
                </c:pt>
                <c:pt idx="269">
                  <c:v>8.1004395779959086</c:v>
                </c:pt>
                <c:pt idx="270">
                  <c:v>8.1272435779959089</c:v>
                </c:pt>
                <c:pt idx="271">
                  <c:v>8.1538915779959087</c:v>
                </c:pt>
                <c:pt idx="272">
                  <c:v>8.1803855779959083</c:v>
                </c:pt>
                <c:pt idx="273">
                  <c:v>8.2067265779959087</c:v>
                </c:pt>
                <c:pt idx="274">
                  <c:v>8.2329195779959079</c:v>
                </c:pt>
                <c:pt idx="275">
                  <c:v>8.2589655779959088</c:v>
                </c:pt>
                <c:pt idx="276">
                  <c:v>8.2848655779959088</c:v>
                </c:pt>
                <c:pt idx="277">
                  <c:v>8.3106225779959075</c:v>
                </c:pt>
                <c:pt idx="278">
                  <c:v>8.336240577995909</c:v>
                </c:pt>
                <c:pt idx="279">
                  <c:v>8.3617195779959079</c:v>
                </c:pt>
                <c:pt idx="280">
                  <c:v>8.3870635779959084</c:v>
                </c:pt>
                <c:pt idx="281">
                  <c:v>8.4122735779959079</c:v>
                </c:pt>
                <c:pt idx="282">
                  <c:v>8.4373525779959078</c:v>
                </c:pt>
                <c:pt idx="283">
                  <c:v>8.4622045779959087</c:v>
                </c:pt>
                <c:pt idx="284">
                  <c:v>8.4869135779959084</c:v>
                </c:pt>
                <c:pt idx="285">
                  <c:v>8.511483577995909</c:v>
                </c:pt>
                <c:pt idx="286">
                  <c:v>8.5359165779959092</c:v>
                </c:pt>
                <c:pt idx="287">
                  <c:v>8.5602165779959076</c:v>
                </c:pt>
                <c:pt idx="288">
                  <c:v>8.5843825779959086</c:v>
                </c:pt>
                <c:pt idx="289">
                  <c:v>8.6084175779959082</c:v>
                </c:pt>
                <c:pt idx="290">
                  <c:v>8.6323210779959076</c:v>
                </c:pt>
                <c:pt idx="291">
                  <c:v>8.6560980779959085</c:v>
                </c:pt>
                <c:pt idx="292">
                  <c:v>8.6797485779959089</c:v>
                </c:pt>
                <c:pt idx="293">
                  <c:v>8.7032745779959075</c:v>
                </c:pt>
                <c:pt idx="294">
                  <c:v>8.7266775779959076</c:v>
                </c:pt>
                <c:pt idx="295">
                  <c:v>8.7499585779959084</c:v>
                </c:pt>
                <c:pt idx="296">
                  <c:v>8.7731205779959076</c:v>
                </c:pt>
                <c:pt idx="297">
                  <c:v>8.7961655779959091</c:v>
                </c:pt>
                <c:pt idx="298">
                  <c:v>8.8190935779959077</c:v>
                </c:pt>
                <c:pt idx="299">
                  <c:v>8.841908577995909</c:v>
                </c:pt>
                <c:pt idx="300">
                  <c:v>8.8646095779959087</c:v>
                </c:pt>
                <c:pt idx="301">
                  <c:v>8.8871995779959079</c:v>
                </c:pt>
                <c:pt idx="302">
                  <c:v>8.9096805779959087</c:v>
                </c:pt>
                <c:pt idx="303">
                  <c:v>8.932054577995908</c:v>
                </c:pt>
                <c:pt idx="304">
                  <c:v>8.9543225779959084</c:v>
                </c:pt>
                <c:pt idx="305">
                  <c:v>8.9764195779959088</c:v>
                </c:pt>
                <c:pt idx="306">
                  <c:v>8.9983655779959086</c:v>
                </c:pt>
                <c:pt idx="307">
                  <c:v>9.0201955779959082</c:v>
                </c:pt>
                <c:pt idx="308">
                  <c:v>9.0419125779959089</c:v>
                </c:pt>
                <c:pt idx="309">
                  <c:v>9.0635165779959088</c:v>
                </c:pt>
                <c:pt idx="310">
                  <c:v>9.0850085779959091</c:v>
                </c:pt>
                <c:pt idx="311">
                  <c:v>9.106389577995909</c:v>
                </c:pt>
                <c:pt idx="312">
                  <c:v>9.1276615779959087</c:v>
                </c:pt>
                <c:pt idx="313">
                  <c:v>9.1488255779959076</c:v>
                </c:pt>
                <c:pt idx="314">
                  <c:v>9.1698815779959091</c:v>
                </c:pt>
                <c:pt idx="315">
                  <c:v>9.190830577995909</c:v>
                </c:pt>
                <c:pt idx="316">
                  <c:v>9.2116765779959078</c:v>
                </c:pt>
                <c:pt idx="317">
                  <c:v>9.2324165779959078</c:v>
                </c:pt>
                <c:pt idx="318">
                  <c:v>9.2530545779959077</c:v>
                </c:pt>
                <c:pt idx="319">
                  <c:v>9.2735905779959076</c:v>
                </c:pt>
                <c:pt idx="320">
                  <c:v>9.2940265779959077</c:v>
                </c:pt>
                <c:pt idx="321">
                  <c:v>9.3143625779959081</c:v>
                </c:pt>
                <c:pt idx="322">
                  <c:v>9.3345995779959079</c:v>
                </c:pt>
                <c:pt idx="323">
                  <c:v>9.3547385779959082</c:v>
                </c:pt>
                <c:pt idx="324">
                  <c:v>9.3747835779959079</c:v>
                </c:pt>
                <c:pt idx="325">
                  <c:v>9.3947315779959091</c:v>
                </c:pt>
                <c:pt idx="326">
                  <c:v>9.4145855779959078</c:v>
                </c:pt>
                <c:pt idx="327">
                  <c:v>9.4343295779959089</c:v>
                </c:pt>
                <c:pt idx="328">
                  <c:v>9.4539375779959087</c:v>
                </c:pt>
                <c:pt idx="329">
                  <c:v>9.4734465779959081</c:v>
                </c:pt>
                <c:pt idx="330">
                  <c:v>9.4928575779959079</c:v>
                </c:pt>
                <c:pt idx="331">
                  <c:v>9.5121725779959085</c:v>
                </c:pt>
                <c:pt idx="332">
                  <c:v>9.5313895779959079</c:v>
                </c:pt>
                <c:pt idx="333">
                  <c:v>9.5505115779959091</c:v>
                </c:pt>
                <c:pt idx="334">
                  <c:v>9.5695395779959078</c:v>
                </c:pt>
                <c:pt idx="335">
                  <c:v>9.5884725779959084</c:v>
                </c:pt>
                <c:pt idx="336">
                  <c:v>9.6073135779959085</c:v>
                </c:pt>
                <c:pt idx="337">
                  <c:v>9.6260615779959089</c:v>
                </c:pt>
                <c:pt idx="338">
                  <c:v>9.6447175779959089</c:v>
                </c:pt>
                <c:pt idx="339">
                  <c:v>9.6632830779959082</c:v>
                </c:pt>
                <c:pt idx="340">
                  <c:v>9.6817575779959082</c:v>
                </c:pt>
                <c:pt idx="341">
                  <c:v>9.7001435779959078</c:v>
                </c:pt>
                <c:pt idx="342">
                  <c:v>9.7184405779959082</c:v>
                </c:pt>
                <c:pt idx="343">
                  <c:v>9.7366505779959081</c:v>
                </c:pt>
                <c:pt idx="344">
                  <c:v>9.7547715779959088</c:v>
                </c:pt>
                <c:pt idx="345">
                  <c:v>9.7728075779959092</c:v>
                </c:pt>
                <c:pt idx="346">
                  <c:v>9.7907585779959092</c:v>
                </c:pt>
                <c:pt idx="347">
                  <c:v>9.8086235779959079</c:v>
                </c:pt>
                <c:pt idx="348">
                  <c:v>9.8264065779959076</c:v>
                </c:pt>
                <c:pt idx="349">
                  <c:v>9.8441045779959087</c:v>
                </c:pt>
                <c:pt idx="350">
                  <c:v>9.8617025779959082</c:v>
                </c:pt>
                <c:pt idx="351">
                  <c:v>9.8792145779959082</c:v>
                </c:pt>
                <c:pt idx="352">
                  <c:v>9.8966445779959091</c:v>
                </c:pt>
                <c:pt idx="353">
                  <c:v>9.913989577995908</c:v>
                </c:pt>
                <c:pt idx="354">
                  <c:v>9.9312515779959085</c:v>
                </c:pt>
                <c:pt idx="355">
                  <c:v>9.9484315779959083</c:v>
                </c:pt>
                <c:pt idx="356">
                  <c:v>9.965529577995909</c:v>
                </c:pt>
                <c:pt idx="357">
                  <c:v>9.9825455779959089</c:v>
                </c:pt>
                <c:pt idx="358">
                  <c:v>9.9994805779959091</c:v>
                </c:pt>
                <c:pt idx="359">
                  <c:v>10.016336577995908</c:v>
                </c:pt>
                <c:pt idx="360">
                  <c:v>10.033111577995909</c:v>
                </c:pt>
                <c:pt idx="361">
                  <c:v>10.049807577995908</c:v>
                </c:pt>
                <c:pt idx="362">
                  <c:v>10.066424577995909</c:v>
                </c:pt>
                <c:pt idx="363">
                  <c:v>10.082963577995908</c:v>
                </c:pt>
                <c:pt idx="364">
                  <c:v>10.099424077995909</c:v>
                </c:pt>
                <c:pt idx="365">
                  <c:v>10.115807577995909</c:v>
                </c:pt>
                <c:pt idx="366">
                  <c:v>10.132114577995909</c:v>
                </c:pt>
                <c:pt idx="367">
                  <c:v>10.148343577995908</c:v>
                </c:pt>
                <c:pt idx="368">
                  <c:v>10.164498077995908</c:v>
                </c:pt>
                <c:pt idx="369">
                  <c:v>10.180575577995908</c:v>
                </c:pt>
                <c:pt idx="370">
                  <c:v>10.196579577995909</c:v>
                </c:pt>
                <c:pt idx="371">
                  <c:v>10.212507577995908</c:v>
                </c:pt>
                <c:pt idx="372">
                  <c:v>10.228367577995908</c:v>
                </c:pt>
                <c:pt idx="373">
                  <c:v>10.244155577995908</c:v>
                </c:pt>
                <c:pt idx="374">
                  <c:v>10.259872577995909</c:v>
                </c:pt>
                <c:pt idx="375">
                  <c:v>10.275517577995908</c:v>
                </c:pt>
                <c:pt idx="376">
                  <c:v>10.291090577995908</c:v>
                </c:pt>
                <c:pt idx="377">
                  <c:v>10.306594577995908</c:v>
                </c:pt>
                <c:pt idx="378">
                  <c:v>10.322026577995908</c:v>
                </c:pt>
                <c:pt idx="379">
                  <c:v>10.337390577995908</c:v>
                </c:pt>
                <c:pt idx="380">
                  <c:v>10.352684577995909</c:v>
                </c:pt>
                <c:pt idx="381">
                  <c:v>10.367910577995909</c:v>
                </c:pt>
                <c:pt idx="382">
                  <c:v>10.383066577995908</c:v>
                </c:pt>
                <c:pt idx="383">
                  <c:v>10.398156577995909</c:v>
                </c:pt>
                <c:pt idx="384">
                  <c:v>10.413179577995908</c:v>
                </c:pt>
                <c:pt idx="385">
                  <c:v>10.428134577995909</c:v>
                </c:pt>
                <c:pt idx="386">
                  <c:v>10.443023577995909</c:v>
                </c:pt>
                <c:pt idx="387">
                  <c:v>10.457846577995909</c:v>
                </c:pt>
                <c:pt idx="388">
                  <c:v>10.472604577995908</c:v>
                </c:pt>
                <c:pt idx="389">
                  <c:v>10.487296577995908</c:v>
                </c:pt>
                <c:pt idx="390">
                  <c:v>10.501925577995909</c:v>
                </c:pt>
                <c:pt idx="391">
                  <c:v>10.516489577995909</c:v>
                </c:pt>
                <c:pt idx="392">
                  <c:v>10.530990577995908</c:v>
                </c:pt>
                <c:pt idx="393">
                  <c:v>10.545426577995908</c:v>
                </c:pt>
                <c:pt idx="394">
                  <c:v>10.559801577995909</c:v>
                </c:pt>
                <c:pt idx="395">
                  <c:v>10.574113577995908</c:v>
                </c:pt>
                <c:pt idx="396">
                  <c:v>10.588363577995908</c:v>
                </c:pt>
                <c:pt idx="397">
                  <c:v>10.602551577995909</c:v>
                </c:pt>
                <c:pt idx="398">
                  <c:v>10.616677577995908</c:v>
                </c:pt>
                <c:pt idx="399">
                  <c:v>10.630744577995909</c:v>
                </c:pt>
                <c:pt idx="400">
                  <c:v>10.644750577995909</c:v>
                </c:pt>
                <c:pt idx="401">
                  <c:v>10.658695577995909</c:v>
                </c:pt>
                <c:pt idx="402">
                  <c:v>10.672582577995909</c:v>
                </c:pt>
                <c:pt idx="403">
                  <c:v>10.686409577995908</c:v>
                </c:pt>
                <c:pt idx="404">
                  <c:v>10.700177577995909</c:v>
                </c:pt>
                <c:pt idx="405">
                  <c:v>10.713887577995909</c:v>
                </c:pt>
                <c:pt idx="406">
                  <c:v>10.727539577995909</c:v>
                </c:pt>
                <c:pt idx="407">
                  <c:v>10.741133577995909</c:v>
                </c:pt>
                <c:pt idx="408">
                  <c:v>10.754670577995908</c:v>
                </c:pt>
                <c:pt idx="409">
                  <c:v>10.768150577995909</c:v>
                </c:pt>
                <c:pt idx="410">
                  <c:v>10.781573577995909</c:v>
                </c:pt>
                <c:pt idx="411">
                  <c:v>10.794941577995909</c:v>
                </c:pt>
                <c:pt idx="412">
                  <c:v>10.808252577995908</c:v>
                </c:pt>
                <c:pt idx="413">
                  <c:v>10.821509077995909</c:v>
                </c:pt>
                <c:pt idx="414">
                  <c:v>10.834710577995908</c:v>
                </c:pt>
                <c:pt idx="415">
                  <c:v>10.847857577995908</c:v>
                </c:pt>
                <c:pt idx="416">
                  <c:v>10.860948577995908</c:v>
                </c:pt>
                <c:pt idx="417">
                  <c:v>10.873986577995908</c:v>
                </c:pt>
                <c:pt idx="418">
                  <c:v>10.886970577995909</c:v>
                </c:pt>
                <c:pt idx="419">
                  <c:v>10.899901577995909</c:v>
                </c:pt>
                <c:pt idx="420">
                  <c:v>10.912778577995908</c:v>
                </c:pt>
                <c:pt idx="421">
                  <c:v>10.925603577995908</c:v>
                </c:pt>
                <c:pt idx="422">
                  <c:v>10.938376577995909</c:v>
                </c:pt>
                <c:pt idx="423">
                  <c:v>10.951096577995909</c:v>
                </c:pt>
                <c:pt idx="424">
                  <c:v>10.963764577995908</c:v>
                </c:pt>
                <c:pt idx="425">
                  <c:v>10.976381577995909</c:v>
                </c:pt>
                <c:pt idx="426">
                  <c:v>10.988947577995908</c:v>
                </c:pt>
                <c:pt idx="427">
                  <c:v>11.001462577995909</c:v>
                </c:pt>
                <c:pt idx="428">
                  <c:v>11.013926577995909</c:v>
                </c:pt>
                <c:pt idx="429">
                  <c:v>11.026340577995908</c:v>
                </c:pt>
                <c:pt idx="430">
                  <c:v>11.038704577995908</c:v>
                </c:pt>
                <c:pt idx="431">
                  <c:v>11.051019577995909</c:v>
                </c:pt>
                <c:pt idx="432">
                  <c:v>11.063285577995908</c:v>
                </c:pt>
                <c:pt idx="433">
                  <c:v>11.075503077995908</c:v>
                </c:pt>
                <c:pt idx="434">
                  <c:v>11.087670577995908</c:v>
                </c:pt>
                <c:pt idx="435">
                  <c:v>11.099791577995909</c:v>
                </c:pt>
                <c:pt idx="436">
                  <c:v>11.111862577995909</c:v>
                </c:pt>
                <c:pt idx="437">
                  <c:v>11.123885577995908</c:v>
                </c:pt>
                <c:pt idx="438">
                  <c:v>11.135862077995908</c:v>
                </c:pt>
                <c:pt idx="439">
                  <c:v>11.147790577995908</c:v>
                </c:pt>
                <c:pt idx="440">
                  <c:v>11.159672577995908</c:v>
                </c:pt>
                <c:pt idx="441">
                  <c:v>11.171506577995908</c:v>
                </c:pt>
                <c:pt idx="442">
                  <c:v>11.183294577995909</c:v>
                </c:pt>
                <c:pt idx="443">
                  <c:v>11.195036577995909</c:v>
                </c:pt>
                <c:pt idx="444">
                  <c:v>11.206731577995908</c:v>
                </c:pt>
                <c:pt idx="445">
                  <c:v>11.218381577995908</c:v>
                </c:pt>
                <c:pt idx="446">
                  <c:v>11.229984577995909</c:v>
                </c:pt>
                <c:pt idx="447">
                  <c:v>11.241543577995909</c:v>
                </c:pt>
                <c:pt idx="448">
                  <c:v>11.253056577995908</c:v>
                </c:pt>
                <c:pt idx="449">
                  <c:v>11.264524577995909</c:v>
                </c:pt>
                <c:pt idx="450">
                  <c:v>11.275948577995909</c:v>
                </c:pt>
                <c:pt idx="451">
                  <c:v>11.287326577995909</c:v>
                </c:pt>
                <c:pt idx="452">
                  <c:v>11.298660577995909</c:v>
                </c:pt>
                <c:pt idx="453">
                  <c:v>11.309951577995909</c:v>
                </c:pt>
                <c:pt idx="454">
                  <c:v>11.321198577995908</c:v>
                </c:pt>
                <c:pt idx="455">
                  <c:v>11.332400577995909</c:v>
                </c:pt>
                <c:pt idx="456">
                  <c:v>11.343559577995908</c:v>
                </c:pt>
                <c:pt idx="457">
                  <c:v>11.354675577995909</c:v>
                </c:pt>
                <c:pt idx="458">
                  <c:v>11.365749077995908</c:v>
                </c:pt>
                <c:pt idx="459">
                  <c:v>11.376779577995908</c:v>
                </c:pt>
                <c:pt idx="460">
                  <c:v>11.387765577995909</c:v>
                </c:pt>
                <c:pt idx="461">
                  <c:v>11.398710577995908</c:v>
                </c:pt>
                <c:pt idx="462">
                  <c:v>11.409612577995908</c:v>
                </c:pt>
                <c:pt idx="463">
                  <c:v>11.420472577995909</c:v>
                </c:pt>
                <c:pt idx="464">
                  <c:v>11.431290577995908</c:v>
                </c:pt>
                <c:pt idx="465">
                  <c:v>11.442066577995908</c:v>
                </c:pt>
                <c:pt idx="466">
                  <c:v>11.452800577995909</c:v>
                </c:pt>
                <c:pt idx="467">
                  <c:v>11.463496577995908</c:v>
                </c:pt>
                <c:pt idx="468">
                  <c:v>11.474159577995909</c:v>
                </c:pt>
                <c:pt idx="469">
                  <c:v>11.484781577995909</c:v>
                </c:pt>
                <c:pt idx="470">
                  <c:v>11.495364577995909</c:v>
                </c:pt>
                <c:pt idx="471">
                  <c:v>11.505907577995908</c:v>
                </c:pt>
                <c:pt idx="472">
                  <c:v>11.516411577995909</c:v>
                </c:pt>
                <c:pt idx="473">
                  <c:v>11.526875577995908</c:v>
                </c:pt>
                <c:pt idx="474">
                  <c:v>11.537299577995908</c:v>
                </c:pt>
                <c:pt idx="475">
                  <c:v>11.547686577995908</c:v>
                </c:pt>
                <c:pt idx="476">
                  <c:v>11.558033577995909</c:v>
                </c:pt>
                <c:pt idx="477">
                  <c:v>11.568341577995909</c:v>
                </c:pt>
                <c:pt idx="478">
                  <c:v>11.578611577995908</c:v>
                </c:pt>
                <c:pt idx="479">
                  <c:v>11.588843577995908</c:v>
                </c:pt>
                <c:pt idx="480">
                  <c:v>11.599037577995908</c:v>
                </c:pt>
                <c:pt idx="481">
                  <c:v>11.609194577995908</c:v>
                </c:pt>
                <c:pt idx="482">
                  <c:v>11.619312577995908</c:v>
                </c:pt>
                <c:pt idx="483">
                  <c:v>11.629393577995909</c:v>
                </c:pt>
                <c:pt idx="484">
                  <c:v>11.639436577995909</c:v>
                </c:pt>
                <c:pt idx="485">
                  <c:v>11.649442577995908</c:v>
                </c:pt>
                <c:pt idx="486">
                  <c:v>11.659412577995909</c:v>
                </c:pt>
                <c:pt idx="487">
                  <c:v>11.669343577995908</c:v>
                </c:pt>
                <c:pt idx="488">
                  <c:v>11.679238577995909</c:v>
                </c:pt>
                <c:pt idx="489">
                  <c:v>11.689098077995908</c:v>
                </c:pt>
                <c:pt idx="490">
                  <c:v>11.698919577995909</c:v>
                </c:pt>
                <c:pt idx="491">
                  <c:v>11.708705577995909</c:v>
                </c:pt>
                <c:pt idx="492">
                  <c:v>11.718454577995908</c:v>
                </c:pt>
                <c:pt idx="493">
                  <c:v>11.728169577995908</c:v>
                </c:pt>
                <c:pt idx="494">
                  <c:v>11.737846077995908</c:v>
                </c:pt>
                <c:pt idx="495">
                  <c:v>11.747488577995908</c:v>
                </c:pt>
                <c:pt idx="496">
                  <c:v>11.757094577995908</c:v>
                </c:pt>
                <c:pt idx="497">
                  <c:v>11.766665577995909</c:v>
                </c:pt>
                <c:pt idx="498">
                  <c:v>11.776199577995909</c:v>
                </c:pt>
                <c:pt idx="499">
                  <c:v>11.785700577995909</c:v>
                </c:pt>
                <c:pt idx="500">
                  <c:v>11.795164577995909</c:v>
                </c:pt>
                <c:pt idx="501">
                  <c:v>11.804594577995909</c:v>
                </c:pt>
                <c:pt idx="502">
                  <c:v>11.813989577995908</c:v>
                </c:pt>
                <c:pt idx="503">
                  <c:v>11.823349577995909</c:v>
                </c:pt>
                <c:pt idx="504">
                  <c:v>11.832674577995908</c:v>
                </c:pt>
                <c:pt idx="505">
                  <c:v>11.841966577995908</c:v>
                </c:pt>
                <c:pt idx="506">
                  <c:v>13.907270577995908</c:v>
                </c:pt>
                <c:pt idx="507">
                  <c:v>14.724042577995908</c:v>
                </c:pt>
                <c:pt idx="508">
                  <c:v>15.15409857799591</c:v>
                </c:pt>
                <c:pt idx="509">
                  <c:v>15.41542757799591</c:v>
                </c:pt>
                <c:pt idx="510">
                  <c:v>15.586032577995908</c:v>
                </c:pt>
                <c:pt idx="511">
                  <c:v>15.706042577995909</c:v>
                </c:pt>
                <c:pt idx="512">
                  <c:v>15.795930577995907</c:v>
                </c:pt>
                <c:pt idx="513">
                  <c:v>15.867414577995909</c:v>
                </c:pt>
                <c:pt idx="514">
                  <c:v>15.924922577995908</c:v>
                </c:pt>
                <c:pt idx="515">
                  <c:v>15.971994577995908</c:v>
                </c:pt>
                <c:pt idx="516">
                  <c:v>16.010856577995909</c:v>
                </c:pt>
                <c:pt idx="517">
                  <c:v>16.043594577995908</c:v>
                </c:pt>
                <c:pt idx="518">
                  <c:v>16.071584577995907</c:v>
                </c:pt>
                <c:pt idx="519">
                  <c:v>16.096372577995908</c:v>
                </c:pt>
                <c:pt idx="520">
                  <c:v>16.118070577995908</c:v>
                </c:pt>
                <c:pt idx="521">
                  <c:v>16.13766457799591</c:v>
                </c:pt>
                <c:pt idx="522">
                  <c:v>16.155156577995907</c:v>
                </c:pt>
                <c:pt idx="523">
                  <c:v>16.171044577995907</c:v>
                </c:pt>
                <c:pt idx="524">
                  <c:v>16.185422577995908</c:v>
                </c:pt>
                <c:pt idx="525">
                  <c:v>16.198547577995907</c:v>
                </c:pt>
                <c:pt idx="526">
                  <c:v>16.21055357799591</c:v>
                </c:pt>
                <c:pt idx="527">
                  <c:v>16.221552577995908</c:v>
                </c:pt>
                <c:pt idx="528">
                  <c:v>16.23164957799591</c:v>
                </c:pt>
                <c:pt idx="529">
                  <c:v>16.24097757799591</c:v>
                </c:pt>
                <c:pt idx="530">
                  <c:v>16.249658577995909</c:v>
                </c:pt>
                <c:pt idx="531">
                  <c:v>16.257695577995907</c:v>
                </c:pt>
                <c:pt idx="532">
                  <c:v>16.265235577995909</c:v>
                </c:pt>
                <c:pt idx="533">
                  <c:v>16.272376577995907</c:v>
                </c:pt>
                <c:pt idx="534">
                  <c:v>16.279155577995908</c:v>
                </c:pt>
                <c:pt idx="535">
                  <c:v>16.285452577995908</c:v>
                </c:pt>
                <c:pt idx="536">
                  <c:v>16.291432577995909</c:v>
                </c:pt>
                <c:pt idx="537">
                  <c:v>16.29714957799591</c:v>
                </c:pt>
                <c:pt idx="538">
                  <c:v>16.30257557799591</c:v>
                </c:pt>
                <c:pt idx="539">
                  <c:v>16.307687577995907</c:v>
                </c:pt>
                <c:pt idx="540">
                  <c:v>16.312562577995909</c:v>
                </c:pt>
                <c:pt idx="541">
                  <c:v>16.317227577995908</c:v>
                </c:pt>
                <c:pt idx="542">
                  <c:v>16.321652577995909</c:v>
                </c:pt>
                <c:pt idx="543">
                  <c:v>16.32586257799591</c:v>
                </c:pt>
                <c:pt idx="544">
                  <c:v>16.32988557799591</c:v>
                </c:pt>
                <c:pt idx="545">
                  <c:v>16.333736577995907</c:v>
                </c:pt>
                <c:pt idx="546">
                  <c:v>16.33740957799591</c:v>
                </c:pt>
                <c:pt idx="547">
                  <c:v>16.340922577995908</c:v>
                </c:pt>
                <c:pt idx="548">
                  <c:v>16.344285577995908</c:v>
                </c:pt>
                <c:pt idx="549">
                  <c:v>16.347507577995909</c:v>
                </c:pt>
                <c:pt idx="550">
                  <c:v>16.350598577995907</c:v>
                </c:pt>
                <c:pt idx="551">
                  <c:v>16.353568577995908</c:v>
                </c:pt>
                <c:pt idx="552">
                  <c:v>16.356418577995907</c:v>
                </c:pt>
                <c:pt idx="553">
                  <c:v>16.359157577995909</c:v>
                </c:pt>
                <c:pt idx="554">
                  <c:v>16.361789577995907</c:v>
                </c:pt>
                <c:pt idx="555">
                  <c:v>16.36431857799591</c:v>
                </c:pt>
                <c:pt idx="556">
                  <c:v>16.36674857799591</c:v>
                </c:pt>
                <c:pt idx="557">
                  <c:v>16.369092577995907</c:v>
                </c:pt>
                <c:pt idx="558">
                  <c:v>16.371350577995909</c:v>
                </c:pt>
                <c:pt idx="559">
                  <c:v>16.373527577995908</c:v>
                </c:pt>
                <c:pt idx="560">
                  <c:v>16.375621577995908</c:v>
                </c:pt>
                <c:pt idx="561">
                  <c:v>16.377635577995907</c:v>
                </c:pt>
                <c:pt idx="562">
                  <c:v>16.379572577995908</c:v>
                </c:pt>
                <c:pt idx="563">
                  <c:v>16.38142957799591</c:v>
                </c:pt>
                <c:pt idx="564">
                  <c:v>16.383218577995908</c:v>
                </c:pt>
                <c:pt idx="565">
                  <c:v>16.384956577995908</c:v>
                </c:pt>
                <c:pt idx="566">
                  <c:v>16.386632577995908</c:v>
                </c:pt>
                <c:pt idx="567">
                  <c:v>16.38824857799591</c:v>
                </c:pt>
                <c:pt idx="568">
                  <c:v>16.389806577995909</c:v>
                </c:pt>
                <c:pt idx="569">
                  <c:v>16.39130357799591</c:v>
                </c:pt>
                <c:pt idx="570">
                  <c:v>16.392745577995907</c:v>
                </c:pt>
                <c:pt idx="571">
                  <c:v>16.394130577995909</c:v>
                </c:pt>
                <c:pt idx="572">
                  <c:v>16.395476577995908</c:v>
                </c:pt>
                <c:pt idx="573">
                  <c:v>16.396777577995909</c:v>
                </c:pt>
                <c:pt idx="574">
                  <c:v>16.398034577995908</c:v>
                </c:pt>
                <c:pt idx="575">
                  <c:v>16.399247577995908</c:v>
                </c:pt>
                <c:pt idx="576">
                  <c:v>16.400418577995907</c:v>
                </c:pt>
                <c:pt idx="577">
                  <c:v>16.401549577995908</c:v>
                </c:pt>
                <c:pt idx="578">
                  <c:v>16.40263957799591</c:v>
                </c:pt>
                <c:pt idx="579">
                  <c:v>16.403693577995909</c:v>
                </c:pt>
                <c:pt idx="580">
                  <c:v>16.404716577995909</c:v>
                </c:pt>
                <c:pt idx="581">
                  <c:v>16.405706577995907</c:v>
                </c:pt>
                <c:pt idx="582">
                  <c:v>16.406663577995907</c:v>
                </c:pt>
                <c:pt idx="583">
                  <c:v>16.407588577995909</c:v>
                </c:pt>
                <c:pt idx="584">
                  <c:v>16.408485577995908</c:v>
                </c:pt>
                <c:pt idx="585">
                  <c:v>16.409352577995907</c:v>
                </c:pt>
                <c:pt idx="586">
                  <c:v>16.410192577995907</c:v>
                </c:pt>
                <c:pt idx="587">
                  <c:v>16.411006577995909</c:v>
                </c:pt>
                <c:pt idx="588">
                  <c:v>16.411796577995908</c:v>
                </c:pt>
                <c:pt idx="589">
                  <c:v>16.41256257799591</c:v>
                </c:pt>
                <c:pt idx="590">
                  <c:v>16.413304577995909</c:v>
                </c:pt>
                <c:pt idx="591">
                  <c:v>16.414025577995908</c:v>
                </c:pt>
                <c:pt idx="592">
                  <c:v>16.414723577995908</c:v>
                </c:pt>
                <c:pt idx="593">
                  <c:v>16.415402577995909</c:v>
                </c:pt>
                <c:pt idx="594">
                  <c:v>16.41605957799591</c:v>
                </c:pt>
                <c:pt idx="595">
                  <c:v>16.416698577995909</c:v>
                </c:pt>
                <c:pt idx="596">
                  <c:v>16.417316577995908</c:v>
                </c:pt>
                <c:pt idx="597">
                  <c:v>16.417914577995909</c:v>
                </c:pt>
                <c:pt idx="598">
                  <c:v>16.41849657799591</c:v>
                </c:pt>
                <c:pt idx="599">
                  <c:v>16.41905957799591</c:v>
                </c:pt>
                <c:pt idx="600">
                  <c:v>16.41960257799591</c:v>
                </c:pt>
                <c:pt idx="601">
                  <c:v>16.420131577995907</c:v>
                </c:pt>
                <c:pt idx="602">
                  <c:v>16.420646577995907</c:v>
                </c:pt>
                <c:pt idx="603">
                  <c:v>16.421149577995909</c:v>
                </c:pt>
                <c:pt idx="604">
                  <c:v>16.421638577995907</c:v>
                </c:pt>
                <c:pt idx="605">
                  <c:v>16.42211157799591</c:v>
                </c:pt>
                <c:pt idx="606">
                  <c:v>16.422568577995907</c:v>
                </c:pt>
                <c:pt idx="607">
                  <c:v>16.423012577995909</c:v>
                </c:pt>
                <c:pt idx="608">
                  <c:v>16.423444577995909</c:v>
                </c:pt>
                <c:pt idx="609">
                  <c:v>16.423862577995909</c:v>
                </c:pt>
                <c:pt idx="610">
                  <c:v>16.42426457799591</c:v>
                </c:pt>
                <c:pt idx="611">
                  <c:v>16.424652577995907</c:v>
                </c:pt>
                <c:pt idx="612">
                  <c:v>16.425027577995909</c:v>
                </c:pt>
                <c:pt idx="613">
                  <c:v>16.42538757799591</c:v>
                </c:pt>
                <c:pt idx="614">
                  <c:v>16.425732577995909</c:v>
                </c:pt>
                <c:pt idx="615">
                  <c:v>16.42606557799591</c:v>
                </c:pt>
                <c:pt idx="616">
                  <c:v>16.426383577995907</c:v>
                </c:pt>
                <c:pt idx="617">
                  <c:v>16.426702577995908</c:v>
                </c:pt>
                <c:pt idx="618">
                  <c:v>16.427014577995909</c:v>
                </c:pt>
                <c:pt idx="619">
                  <c:v>16.42731657799591</c:v>
                </c:pt>
                <c:pt idx="620">
                  <c:v>16.427608577995908</c:v>
                </c:pt>
                <c:pt idx="621">
                  <c:v>16.427892577995909</c:v>
                </c:pt>
                <c:pt idx="622">
                  <c:v>16.428165577995909</c:v>
                </c:pt>
                <c:pt idx="623">
                  <c:v>16.428428577995909</c:v>
                </c:pt>
                <c:pt idx="624">
                  <c:v>16.428683577995908</c:v>
                </c:pt>
                <c:pt idx="625">
                  <c:v>16.428928577995908</c:v>
                </c:pt>
                <c:pt idx="626">
                  <c:v>16.429164577995909</c:v>
                </c:pt>
                <c:pt idx="627">
                  <c:v>16.429391577995908</c:v>
                </c:pt>
                <c:pt idx="628">
                  <c:v>16.429608577995907</c:v>
                </c:pt>
                <c:pt idx="629">
                  <c:v>16.42981857799591</c:v>
                </c:pt>
                <c:pt idx="630">
                  <c:v>16.430019577995907</c:v>
                </c:pt>
                <c:pt idx="631">
                  <c:v>16.430209577995907</c:v>
                </c:pt>
                <c:pt idx="632">
                  <c:v>16.430400577995908</c:v>
                </c:pt>
                <c:pt idx="633">
                  <c:v>16.430587577995908</c:v>
                </c:pt>
                <c:pt idx="634">
                  <c:v>16.430768577995909</c:v>
                </c:pt>
                <c:pt idx="635">
                  <c:v>16.430942577995907</c:v>
                </c:pt>
                <c:pt idx="636">
                  <c:v>16.431110577995909</c:v>
                </c:pt>
                <c:pt idx="637">
                  <c:v>16.431274577995907</c:v>
                </c:pt>
                <c:pt idx="638">
                  <c:v>16.431430577995908</c:v>
                </c:pt>
                <c:pt idx="639">
                  <c:v>16.431582577995908</c:v>
                </c:pt>
                <c:pt idx="640">
                  <c:v>16.431728577995909</c:v>
                </c:pt>
                <c:pt idx="641">
                  <c:v>16.43187157799591</c:v>
                </c:pt>
                <c:pt idx="642">
                  <c:v>16.43200657799591</c:v>
                </c:pt>
                <c:pt idx="643">
                  <c:v>16.432138577995907</c:v>
                </c:pt>
                <c:pt idx="644">
                  <c:v>16.43226557799591</c:v>
                </c:pt>
                <c:pt idx="645">
                  <c:v>16.432387577995907</c:v>
                </c:pt>
                <c:pt idx="646">
                  <c:v>16.432506577995909</c:v>
                </c:pt>
                <c:pt idx="647">
                  <c:v>16.432622577995907</c:v>
                </c:pt>
                <c:pt idx="648">
                  <c:v>16.432732577995907</c:v>
                </c:pt>
                <c:pt idx="649">
                  <c:v>16.43284257799591</c:v>
                </c:pt>
                <c:pt idx="650">
                  <c:v>16.43294657799591</c:v>
                </c:pt>
                <c:pt idx="651">
                  <c:v>16.433047577995907</c:v>
                </c:pt>
                <c:pt idx="652">
                  <c:v>16.433145577995909</c:v>
                </c:pt>
                <c:pt idx="653">
                  <c:v>16.433240577995907</c:v>
                </c:pt>
                <c:pt idx="654">
                  <c:v>16.433332577995909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3A-448B-B344-CEA92E205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1639920"/>
        <c:axId val="2131646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MIFT!$E$1</c15:sqref>
                        </c15:formulaRef>
                      </c:ext>
                    </c:extLst>
                    <c:strCache>
                      <c:ptCount val="1"/>
                      <c:pt idx="0">
                        <c:v>pygfunction MIFT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MIFT!$E$3:$E$662</c15:sqref>
                        </c15:formulaRef>
                      </c:ext>
                    </c:extLst>
                    <c:numCache>
                      <c:formatCode>0.00E+00</c:formatCode>
                      <c:ptCount val="660"/>
                      <c:pt idx="0">
                        <c:v>2.8583581454700099E-8</c:v>
                      </c:pt>
                      <c:pt idx="1">
                        <c:v>5.79899209758162E-8</c:v>
                      </c:pt>
                      <c:pt idx="2">
                        <c:v>8.8242701069227598E-8</c:v>
                      </c:pt>
                      <c:pt idx="3">
                        <c:v>1.1936628592490401E-7</c:v>
                      </c:pt>
                      <c:pt idx="4">
                        <c:v>1.51385741038701E-7</c:v>
                      </c:pt>
                      <c:pt idx="5">
                        <c:v>1.84326853398944E-7</c:v>
                      </c:pt>
                      <c:pt idx="6">
                        <c:v>2.1821615225408301E-7</c:v>
                      </c:pt>
                      <c:pt idx="7">
                        <c:v>2.53080930478119E-7</c:v>
                      </c:pt>
                      <c:pt idx="8">
                        <c:v>2.8894926655102298E-7</c:v>
                      </c:pt>
                      <c:pt idx="9">
                        <c:v>3.2585004717184603E-7</c:v>
                      </c:pt>
                      <c:pt idx="10">
                        <c:v>3.6381299052272999E-7</c:v>
                      </c:pt>
                      <c:pt idx="11">
                        <c:v>4.0286867020255602E-7</c:v>
                      </c:pt>
                      <c:pt idx="12">
                        <c:v>4.4304853984950902E-7</c:v>
                      </c:pt>
                      <c:pt idx="13">
                        <c:v>4.8438495847238301E-7</c:v>
                      </c:pt>
                      <c:pt idx="14">
                        <c:v>5.2691121651102802E-7</c:v>
                      </c:pt>
                      <c:pt idx="15">
                        <c:v>5.7066156264693402E-7</c:v>
                      </c:pt>
                      <c:pt idx="16">
                        <c:v>6.15671231385533E-7</c:v>
                      </c:pt>
                      <c:pt idx="17">
                        <c:v>6.6197647143243897E-7</c:v>
                      </c:pt>
                      <c:pt idx="18">
                        <c:v>7.0961457488648402E-7</c:v>
                      </c:pt>
                      <c:pt idx="19">
                        <c:v>7.5862390727304397E-7</c:v>
                      </c:pt>
                      <c:pt idx="20">
                        <c:v>8.0904393844186103E-7</c:v>
                      </c:pt>
                      <c:pt idx="21">
                        <c:v>8.6091527435423703E-7</c:v>
                      </c:pt>
                      <c:pt idx="22">
                        <c:v>9.1427968978519201E-7</c:v>
                      </c:pt>
                      <c:pt idx="23">
                        <c:v>9.6918016196694306E-7</c:v>
                      </c:pt>
                      <c:pt idx="24">
                        <c:v>1.02566090520077E-6</c:v>
                      </c:pt>
                      <c:pt idx="25">
                        <c:v>1.0837674064651799E-6</c:v>
                      </c:pt>
                      <c:pt idx="26">
                        <c:v>1.1435464620490101E-6</c:v>
                      </c:pt>
                      <c:pt idx="27">
                        <c:v>1.2050462152389901E-6</c:v>
                      </c:pt>
                      <c:pt idx="28">
                        <c:v>1.2683161950921301E-6</c:v>
                      </c:pt>
                      <c:pt idx="29">
                        <c:v>1.3334073563241199E-6</c:v>
                      </c:pt>
                      <c:pt idx="30">
                        <c:v>1.4003721203459101E-6</c:v>
                      </c:pt>
                      <c:pt idx="31">
                        <c:v>1.46926441748149E-6</c:v>
                      </c:pt>
                      <c:pt idx="32">
                        <c:v>1.54013973040086E-6</c:v>
                      </c:pt>
                      <c:pt idx="33">
                        <c:v>1.6130551388032599E-6</c:v>
                      </c:pt>
                      <c:pt idx="34">
                        <c:v>1.6880693653864401E-6</c:v>
                      </c:pt>
                      <c:pt idx="35">
                        <c:v>1.7652428231392701E-6</c:v>
                      </c:pt>
                      <c:pt idx="36">
                        <c:v>1.8446376639955401E-6</c:v>
                      </c:pt>
                      <c:pt idx="37">
                        <c:v>1.9263178288882699E-6</c:v>
                      </c:pt>
                      <c:pt idx="38">
                        <c:v>2.0103490992447501E-6</c:v>
                      </c:pt>
                      <c:pt idx="39">
                        <c:v>2.09679914996388E-6</c:v>
                      </c:pt>
                      <c:pt idx="40">
                        <c:v>2.1857376039184101E-6</c:v>
                      </c:pt>
                      <c:pt idx="41">
                        <c:v>2.2772360880259798E-6</c:v>
                      </c:pt>
                      <c:pt idx="42">
                        <c:v>2.37136829093409E-6</c:v>
                      </c:pt>
                      <c:pt idx="43">
                        <c:v>2.4682100223655998E-6</c:v>
                      </c:pt>
                      <c:pt idx="44">
                        <c:v>2.5678392741722998E-6</c:v>
                      </c:pt>
                      <c:pt idx="45">
                        <c:v>2.67033628314599E-6</c:v>
                      </c:pt>
                      <c:pt idx="46">
                        <c:v>2.7757835956374601E-6</c:v>
                      </c:pt>
                      <c:pt idx="47">
                        <c:v>2.88426613403551E-6</c:v>
                      </c:pt>
                      <c:pt idx="48">
                        <c:v>2.9958712651595198E-6</c:v>
                      </c:pt>
                      <c:pt idx="49">
                        <c:v>3.1106888706206399E-6</c:v>
                      </c:pt>
                      <c:pt idx="50">
                        <c:v>3.2288114192082599E-6</c:v>
                      </c:pt>
                      <c:pt idx="51">
                        <c:v>3.35033404136015E-6</c:v>
                      </c:pt>
                      <c:pt idx="52">
                        <c:v>3.4753546057760598E-6</c:v>
                      </c:pt>
                      <c:pt idx="53">
                        <c:v>3.6039737982366701E-6</c:v>
                      </c:pt>
                      <c:pt idx="54">
                        <c:v>3.73629520269128E-6</c:v>
                      </c:pt>
                      <c:pt idx="55">
                        <c:v>3.87242538467949E-6</c:v>
                      </c:pt>
                      <c:pt idx="56">
                        <c:v>4.0124739771541897E-6</c:v>
                      </c:pt>
                      <c:pt idx="57">
                        <c:v>4.1565537687748498E-6</c:v>
                      </c:pt>
                      <c:pt idx="58">
                        <c:v>4.3047807947423103E-6</c:v>
                      </c:pt>
                      <c:pt idx="59">
                        <c:v>4.4572744302481496E-6</c:v>
                      </c:pt>
                      <c:pt idx="60">
                        <c:v>4.6141574866139396E-6</c:v>
                      </c:pt>
                      <c:pt idx="61">
                        <c:v>4.7755563101978302E-6</c:v>
                      </c:pt>
                      <c:pt idx="62">
                        <c:v>4.9416008841480398E-6</c:v>
                      </c:pt>
                      <c:pt idx="63">
                        <c:v>5.1124249330852599E-6</c:v>
                      </c:pt>
                      <c:pt idx="64">
                        <c:v>5.2881660307983203E-6</c:v>
                      </c:pt>
                      <c:pt idx="65">
                        <c:v>5.4689657110397202E-6</c:v>
                      </c:pt>
                      <c:pt idx="66">
                        <c:v>5.6549695815103896E-6</c:v>
                      </c:pt>
                      <c:pt idx="67">
                        <c:v>5.8463274411253898E-6</c:v>
                      </c:pt>
                      <c:pt idx="68">
                        <c:v>6.0431934006550104E-6</c:v>
                      </c:pt>
                      <c:pt idx="69">
                        <c:v>6.2457260068384998E-6</c:v>
                      </c:pt>
                      <c:pt idx="70">
                        <c:v>6.4540883700702297E-6</c:v>
                      </c:pt>
                      <c:pt idx="71">
                        <c:v>6.6684482957613098E-6</c:v>
                      </c:pt>
                      <c:pt idx="72">
                        <c:v>6.8889784194822703E-6</c:v>
                      </c:pt>
                      <c:pt idx="73">
                        <c:v>7.1158563459957798E-6</c:v>
                      </c:pt>
                      <c:pt idx="74">
                        <c:v>7.3492647922913E-6</c:v>
                      </c:pt>
                      <c:pt idx="75">
                        <c:v>7.5893917347369199E-6</c:v>
                      </c:pt>
                      <c:pt idx="76">
                        <c:v>7.8364305604667905E-6</c:v>
                      </c:pt>
                      <c:pt idx="77">
                        <c:v>8.0905802231262206E-6</c:v>
                      </c:pt>
                      <c:pt idx="78">
                        <c:v>8.3520454030997206E-6</c:v>
                      </c:pt>
                      <c:pt idx="79">
                        <c:v>8.6210366723511207E-6</c:v>
                      </c:pt>
                      <c:pt idx="80">
                        <c:v>8.8977706640084899E-6</c:v>
                      </c:pt>
                      <c:pt idx="81">
                        <c:v>9.1824702468304307E-6</c:v>
                      </c:pt>
                      <c:pt idx="82">
                        <c:v>9.4753647046942992E-6</c:v>
                      </c:pt>
                      <c:pt idx="83">
                        <c:v>9.7766899212508099E-6</c:v>
                      </c:pt>
                      <c:pt idx="84">
                        <c:v>1.0086688569893799E-5</c:v>
                      </c:pt>
                      <c:pt idx="85">
                        <c:v>1.04056103091983E-5</c:v>
                      </c:pt>
                      <c:pt idx="86">
                        <c:v>1.0733711983983599E-5</c:v>
                      </c:pt>
                      <c:pt idx="87">
                        <c:v>1.1071257832164999E-5</c:v>
                      </c:pt>
                      <c:pt idx="88">
                        <c:v>1.14185196975576E-5</c:v>
                      </c:pt>
                      <c:pt idx="89">
                        <c:v>1.1775777248808E-5</c:v>
                      </c:pt>
                      <c:pt idx="90">
                        <c:v>1.21433182046257E-5</c:v>
                      </c:pt>
                      <c:pt idx="91">
                        <c:v>1.25214385654986E-5</c:v>
                      </c:pt>
                      <c:pt idx="92">
                        <c:v>1.29104428520781E-5</c:v>
                      </c:pt>
                      <c:pt idx="93">
                        <c:v>1.33106443504263E-5</c:v>
                      </c:pt>
                      <c:pt idx="94">
                        <c:v>1.37223653643215E-5</c:v>
                      </c:pt>
                      <c:pt idx="95">
                        <c:v>1.4145937474827199E-5</c:v>
                      </c:pt>
                      <c:pt idx="96">
                        <c:v>1.45817018073322E-5</c:v>
                      </c:pt>
                      <c:pt idx="97">
                        <c:v>1.50300093062767E-5</c:v>
                      </c:pt>
                      <c:pt idx="98">
                        <c:v>1.54912210177872E-5</c:v>
                      </c:pt>
                      <c:pt idx="99">
                        <c:v>1.5965708380446499E-5</c:v>
                      </c:pt>
                      <c:pt idx="100">
                        <c:v>1.6453853524432301E-5</c:v>
                      </c:pt>
                      <c:pt idx="101">
                        <c:v>1.69560495792682E-5</c:v>
                      </c:pt>
                      <c:pt idx="102">
                        <c:v>1.74727009904314E-5</c:v>
                      </c:pt>
                      <c:pt idx="103">
                        <c:v>1.8004223845074701E-5</c:v>
                      </c:pt>
                      <c:pt idx="104">
                        <c:v>1.8551046207123501E-5</c:v>
                      </c:pt>
                      <c:pt idx="105">
                        <c:v>1.91136084620189E-5</c:v>
                      </c:pt>
                      <c:pt idx="106">
                        <c:v>1.9692363671384101E-5</c:v>
                      </c:pt>
                      <c:pt idx="107">
                        <c:v>2.0287777937898501E-5</c:v>
                      </c:pt>
                      <c:pt idx="108">
                        <c:v>2.0900330780676101E-5</c:v>
                      </c:pt>
                      <c:pt idx="109">
                        <c:v>2.1530515521447198E-5</c:v>
                      </c:pt>
                      <c:pt idx="110">
                        <c:v>2.2178839681857699E-5</c:v>
                      </c:pt>
                      <c:pt idx="111">
                        <c:v>2.2845825392202901E-5</c:v>
                      </c:pt>
                      <c:pt idx="112">
                        <c:v>2.35320098119275E-5</c:v>
                      </c:pt>
                      <c:pt idx="113">
                        <c:v>2.4237945562228798E-5</c:v>
                      </c:pt>
                      <c:pt idx="114">
                        <c:v>2.49642011711123E-5</c:v>
                      </c:pt>
                      <c:pt idx="115">
                        <c:v>2.57113615312578E-5</c:v>
                      </c:pt>
                      <c:pt idx="116">
                        <c:v>2.6480028371064999E-5</c:v>
                      </c:pt>
                      <c:pt idx="117">
                        <c:v>2.7270820739257899E-5</c:v>
                      </c:pt>
                      <c:pt idx="118">
                        <c:v>2.8084375503437502E-5</c:v>
                      </c:pt>
                      <c:pt idx="119">
                        <c:v>2.8921347862985999E-5</c:v>
                      </c:pt>
                      <c:pt idx="120">
                        <c:v>2.97824118767338E-5</c:v>
                      </c:pt>
                      <c:pt idx="121">
                        <c:v>3.0668261005815599E-5</c:v>
                      </c:pt>
                      <c:pt idx="122">
                        <c:v>3.1579608672151598E-5</c:v>
                      </c:pt>
                      <c:pt idx="123">
                        <c:v>3.2517188833004498E-5</c:v>
                      </c:pt>
                      <c:pt idx="124">
                        <c:v>3.3481756572075199E-5</c:v>
                      </c:pt>
                      <c:pt idx="125">
                        <c:v>3.4474088707611903E-5</c:v>
                      </c:pt>
                      <c:pt idx="126">
                        <c:v>3.5494984418023602E-5</c:v>
                      </c:pt>
                      <c:pt idx="127">
                        <c:v>3.6545265885501499E-5</c:v>
                      </c:pt>
                      <c:pt idx="128">
                        <c:v>3.7625778958166599E-5</c:v>
                      </c:pt>
                      <c:pt idx="129">
                        <c:v>3.8737393831276603E-5</c:v>
                      </c:pt>
                      <c:pt idx="130">
                        <c:v>3.9881005748040803E-5</c:v>
                      </c:pt>
                      <c:pt idx="131">
                        <c:v>4.1057535720607602E-5</c:v>
                      </c:pt>
                      <c:pt idx="132">
                        <c:v>4.2267931271805501E-5</c:v>
                      </c:pt>
                      <c:pt idx="133">
                        <c:v>4.3513167198233498E-5</c:v>
                      </c:pt>
                      <c:pt idx="134">
                        <c:v>4.47942463553176E-5</c:v>
                      </c:pt>
                      <c:pt idx="135">
                        <c:v>4.6112200464964197E-5</c:v>
                      </c:pt>
                      <c:pt idx="136">
                        <c:v>4.7468090946461103E-5</c:v>
                      </c:pt>
                      <c:pt idx="137">
                        <c:v>4.8863009771295402E-5</c:v>
                      </c:pt>
                      <c:pt idx="138">
                        <c:v>5.0298080342577201E-5</c:v>
                      </c:pt>
                      <c:pt idx="139">
                        <c:v>5.1774458399775999E-5</c:v>
                      </c:pt>
                      <c:pt idx="140">
                        <c:v>5.3293332949500198E-5</c:v>
                      </c:pt>
                      <c:pt idx="141">
                        <c:v>5.4855927223068002E-5</c:v>
                      </c:pt>
                      <c:pt idx="142">
                        <c:v>5.6463499661641101E-5</c:v>
                      </c:pt>
                      <c:pt idx="143">
                        <c:v>5.8117344929715303E-5</c:v>
                      </c:pt>
                      <c:pt idx="144">
                        <c:v>5.9818794957783299E-5</c:v>
                      </c:pt>
                      <c:pt idx="145">
                        <c:v>6.1569220015009703E-5</c:v>
                      </c:pt>
                      <c:pt idx="146">
                        <c:v>6.3370029812782801E-5</c:v>
                      </c:pt>
                      <c:pt idx="147">
                        <c:v>6.5222674640030601E-5</c:v>
                      </c:pt>
                      <c:pt idx="148">
                        <c:v>6.71286465312168E-5</c:v>
                      </c:pt>
                      <c:pt idx="149">
                        <c:v>6.9089480467956005E-5</c:v>
                      </c:pt>
                      <c:pt idx="150">
                        <c:v>7.1106755615217104E-5</c:v>
                      </c:pt>
                      <c:pt idx="151">
                        <c:v>7.3182096593109601E-5</c:v>
                      </c:pt>
                      <c:pt idx="152">
                        <c:v>7.5317174785277801E-5</c:v>
                      </c:pt>
                      <c:pt idx="153">
                        <c:v>7.7513709684955498E-5</c:v>
                      </c:pt>
                      <c:pt idx="154">
                        <c:v>7.9773470279766596E-5</c:v>
                      </c:pt>
                      <c:pt idx="155">
                        <c:v>8.2098276476385594E-5</c:v>
                      </c:pt>
                      <c:pt idx="156">
                        <c:v>8.4490000566206898E-5</c:v>
                      </c:pt>
                      <c:pt idx="157">
                        <c:v>8.6950568733200996E-5</c:v>
                      </c:pt>
                      <c:pt idx="158">
                        <c:v>8.9481962605174301E-5</c:v>
                      </c:pt>
                      <c:pt idx="159">
                        <c:v>9.2086220849680597E-5</c:v>
                      </c:pt>
                      <c:pt idx="160">
                        <c:v>9.4765440815869502E-5</c:v>
                      </c:pt>
                      <c:pt idx="161">
                        <c:v>9.75217802235943E-5</c:v>
                      </c:pt>
                      <c:pt idx="162" formatCode="General">
                        <c:v>1.0035745890114E-4</c:v>
                      </c:pt>
                      <c:pt idx="163" formatCode="General">
                        <c:v>1.0327476057297E-4</c:v>
                      </c:pt>
                      <c:pt idx="164" formatCode="General">
                        <c:v>1.06276034698934E-4</c:v>
                      </c:pt>
                      <c:pt idx="165" formatCode="General">
                        <c:v>1.09363698366411E-4</c:v>
                      </c:pt>
                      <c:pt idx="166" formatCode="General">
                        <c:v>1.12540238236921E-4</c:v>
                      </c:pt>
                      <c:pt idx="167" formatCode="General">
                        <c:v>1.15808212548769E-4</c:v>
                      </c:pt>
                      <c:pt idx="168" formatCode="General">
                        <c:v>1.19170253177331E-4</c:v>
                      </c:pt>
                      <c:pt idx="169" formatCode="General">
                        <c:v>1.22629067754641E-4</c:v>
                      </c:pt>
                      <c:pt idx="170" formatCode="General">
                        <c:v>1.2618744184999999E-4</c:v>
                      </c:pt>
                      <c:pt idx="171" formatCode="General">
                        <c:v>1.2984824121333699E-4</c:v>
                      </c:pt>
                      <c:pt idx="172" formatCode="General">
                        <c:v>1.33614414083157E-4</c:v>
                      </c:pt>
                      <c:pt idx="173" formatCode="General">
                        <c:v>1.37488993560913E-4</c:v>
                      </c:pt>
                      <c:pt idx="174" formatCode="General">
                        <c:v>1.4147510005372701E-4</c:v>
                      </c:pt>
                      <c:pt idx="175" formatCode="General">
                        <c:v>1.4557594378741901E-4</c:v>
                      </c:pt>
                      <c:pt idx="176" formatCode="General">
                        <c:v>1.4979482739187999E-4</c:v>
                      </c:pt>
                      <c:pt idx="177" formatCode="General">
                        <c:v>1.54135148560851E-4</c:v>
                      </c:pt>
                      <c:pt idx="178" formatCode="General">
                        <c:v>1.5860040278827201E-4</c:v>
                      </c:pt>
                      <c:pt idx="179" formatCode="General">
                        <c:v>1.63194186183392E-4</c:v>
                      </c:pt>
                      <c:pt idx="180" formatCode="General">
                        <c:v>1.6792019836690499E-4</c:v>
                      </c:pt>
                      <c:pt idx="181" formatCode="General">
                        <c:v>1.7278224545045799E-4</c:v>
                      </c:pt>
                      <c:pt idx="182" formatCode="General">
                        <c:v>1.7778424310191401E-4</c:v>
                      </c:pt>
                      <c:pt idx="183" formatCode="General">
                        <c:v>1.82930219698852E-4</c:v>
                      </c:pt>
                      <c:pt idx="184" formatCode="General">
                        <c:v>1.8822431957283301E-4</c:v>
                      </c:pt>
                      <c:pt idx="185" formatCode="General">
                        <c:v>1.9367080634705801E-4</c:v>
                      </c:pt>
                      <c:pt idx="186" formatCode="General">
                        <c:v>1.9927406637008699E-4</c:v>
                      </c:pt>
                      <c:pt idx="187" formatCode="General">
                        <c:v>2.0503861224840499E-4</c:v>
                      </c:pt>
                      <c:pt idx="188" formatCode="General">
                        <c:v>2.1096908648066901E-4</c:v>
                      </c:pt>
                      <c:pt idx="189" formatCode="General">
                        <c:v>2.1707026519655301E-4</c:v>
                      </c:pt>
                      <c:pt idx="190" formatCode="General">
                        <c:v>2.2334706200323199E-4</c:v>
                      </c:pt>
                      <c:pt idx="191" formatCode="General">
                        <c:v>2.2980453194256699E-4</c:v>
                      </c:pt>
                      <c:pt idx="192" formatCode="General">
                        <c:v>2.3644787556220399E-4</c:v>
                      </c:pt>
                      <c:pt idx="193" formatCode="General">
                        <c:v>2.4328244310385799E-4</c:v>
                      </c:pt>
                      <c:pt idx="194" formatCode="General">
                        <c:v>2.50313738812144E-4</c:v>
                      </c:pt>
                      <c:pt idx="195" formatCode="General">
                        <c:v>2.5754742536744499E-4</c:v>
                      </c:pt>
                      <c:pt idx="196" formatCode="General">
                        <c:v>2.64989328446373E-4</c:v>
                      </c:pt>
                      <c:pt idx="197" formatCode="General">
                        <c:v>2.72645441413498E-4</c:v>
                      </c:pt>
                      <c:pt idx="198" formatCode="General">
                        <c:v>2.80521930148126E-4</c:v>
                      </c:pt>
                      <c:pt idx="199" formatCode="General">
                        <c:v>2.8862513801001702E-4</c:v>
                      </c:pt>
                      <c:pt idx="200" formatCode="General">
                        <c:v>2.9696159094802998E-4</c:v>
                      </c:pt>
                      <c:pt idx="201" formatCode="General">
                        <c:v>3.0553800275581901E-4</c:v>
                      </c:pt>
                      <c:pt idx="202" formatCode="General">
                        <c:v>3.1436128047881799E-4</c:v>
                      </c:pt>
                      <c:pt idx="203" formatCode="General">
                        <c:v>3.23438529976848E-4</c:v>
                      </c:pt>
                      <c:pt idx="204" formatCode="General">
                        <c:v>3.32777061646856E-4</c:v>
                      </c:pt>
                      <c:pt idx="205" formatCode="General">
                        <c:v>3.4238439631036402E-4</c:v>
                      </c:pt>
                      <c:pt idx="206" formatCode="General">
                        <c:v>3.5226827127039399E-4</c:v>
                      </c:pt>
                      <c:pt idx="207" formatCode="General">
                        <c:v>3.6243664654273498E-4</c:v>
                      </c:pt>
                      <c:pt idx="208" formatCode="General">
                        <c:v>3.7289771126656899E-4</c:v>
                      </c:pt>
                      <c:pt idx="209" formatCode="General">
                        <c:v>3.8365989029962499E-4</c:v>
                      </c:pt>
                      <c:pt idx="210" formatCode="General">
                        <c:v>3.9473185100317201E-4</c:v>
                      </c:pt>
                      <c:pt idx="211" formatCode="General">
                        <c:v>4.0612251022230898E-4</c:v>
                      </c:pt>
                      <c:pt idx="212" formatCode="General">
                        <c:v>4.17841041467183E-4</c:v>
                      </c:pt>
                      <c:pt idx="213" formatCode="General">
                        <c:v>4.2989688230090397E-4</c:v>
                      </c:pt>
                      <c:pt idx="214" formatCode="General">
                        <c:v>4.4229974194012701E-4</c:v>
                      </c:pt>
                      <c:pt idx="215" formatCode="General">
                        <c:v>4.5505960907440398E-4</c:v>
                      </c:pt>
                      <c:pt idx="216" formatCode="General">
                        <c:v>4.6818675991061099E-4</c:v>
                      </c:pt>
                      <c:pt idx="217" formatCode="General">
                        <c:v>4.8169176644893299E-4</c:v>
                      </c:pt>
                      <c:pt idx="218" formatCode="General">
                        <c:v>4.9558550499706499E-4</c:v>
                      </c:pt>
                      <c:pt idx="219" formatCode="General">
                        <c:v>5.0987916492947901E-4</c:v>
                      </c:pt>
                      <c:pt idx="220" formatCode="General">
                        <c:v>5.2458425769884103E-4</c:v>
                      </c:pt>
                      <c:pt idx="221" formatCode="General">
                        <c:v>5.39712626106791E-4</c:v>
                      </c:pt>
                      <c:pt idx="222" formatCode="General">
                        <c:v>5.55276453841595E-4</c:v>
                      </c:pt>
                      <c:pt idx="223" formatCode="General">
                        <c:v>5.7128827529032296E-4</c:v>
                      </c:pt>
                      <c:pt idx="224" formatCode="General">
                        <c:v>5.87760985633462E-4</c:v>
                      </c:pt>
                      <c:pt idx="225" formatCode="General">
                        <c:v>6.04707851230099E-4</c:v>
                      </c:pt>
                      <c:pt idx="226" formatCode="General">
                        <c:v>6.2214252030203497E-4</c:v>
                      </c:pt>
                      <c:pt idx="227" formatCode="General">
                        <c:v>6.4007903392542995E-4</c:v>
                      </c:pt>
                      <c:pt idx="228" formatCode="General">
                        <c:v>6.5853183733883798E-4</c:v>
                      </c:pt>
                      <c:pt idx="229" formatCode="General">
                        <c:v>6.7751579157672903E-4</c:v>
                      </c:pt>
                      <c:pt idx="230" formatCode="General">
                        <c:v>6.9704618543788596E-4</c:v>
                      </c:pt>
                      <c:pt idx="231" formatCode="General">
                        <c:v>7.1713874779829202E-4</c:v>
                      </c:pt>
                      <c:pt idx="232" formatCode="General">
                        <c:v>7.3780966027843997E-4</c:v>
                      </c:pt>
                      <c:pt idx="233" formatCode="General">
                        <c:v>7.59075570275263E-4</c:v>
                      </c:pt>
                      <c:pt idx="234" formatCode="General">
                        <c:v>7.8095360436917702E-4</c:v>
                      </c:pt>
                      <c:pt idx="235" formatCode="General">
                        <c:v>8.0346138211703398E-4</c:v>
                      </c:pt>
                      <c:pt idx="236" formatCode="General">
                        <c:v>8.2661703024210405E-4</c:v>
                      </c:pt>
                      <c:pt idx="237" formatCode="General">
                        <c:v>8.5043919723249599E-4</c:v>
                      </c:pt>
                      <c:pt idx="238" formatCode="General">
                        <c:v>8.7494706835978501E-4</c:v>
                      </c:pt>
                      <c:pt idx="239" formatCode="General">
                        <c:v>9.00160381129949E-4</c:v>
                      </c:pt>
                      <c:pt idx="240" formatCode="General">
                        <c:v>9.2609944117904002E-4</c:v>
                      </c:pt>
                      <c:pt idx="241" formatCode="General">
                        <c:v>9.5278513862640402E-4</c:v>
                      </c:pt>
                      <c:pt idx="242" formatCode="General">
                        <c:v>9.8023896489861503E-4</c:v>
                      </c:pt>
                      <c:pt idx="243" formatCode="General">
                        <c:v>1.0084830300376799E-3</c:v>
                      </c:pt>
                      <c:pt idx="244" formatCode="General">
                        <c:v>1.0375400805074501E-3</c:v>
                      </c:pt>
                      <c:pt idx="245" formatCode="General">
                        <c:v>1.06743351751254E-3</c:v>
                      </c:pt>
                      <c:pt idx="246" formatCode="General">
                        <c:v>1.09818741584464E-3</c:v>
                      </c:pt>
                      <c:pt idx="247" formatCode="General">
                        <c:v>1.1298265432711601E-3</c:v>
                      </c:pt>
                      <c:pt idx="248" formatCode="General">
                        <c:v>1.1623763804820999E-3</c:v>
                      </c:pt>
                      <c:pt idx="249" formatCode="General">
                        <c:v>1.19586314161099E-3</c:v>
                      </c:pt>
                      <c:pt idx="250" formatCode="General">
                        <c:v>1.2303137953465801E-3</c:v>
                      </c:pt>
                      <c:pt idx="251" formatCode="General">
                        <c:v>1.26575608665212E-3</c:v>
                      </c:pt>
                      <c:pt idx="252" formatCode="General">
                        <c:v>1.30221855910991E-3</c:v>
                      </c:pt>
                      <c:pt idx="253" formatCode="General">
                        <c:v>1.33973057790896E-3</c:v>
                      </c:pt>
                      <c:pt idx="254" formatCode="General">
                        <c:v>1.37832235349439E-3</c:v>
                      </c:pt>
                      <c:pt idx="255" formatCode="General">
                        <c:v>1.41802496589747E-3</c:v>
                      </c:pt>
                      <c:pt idx="256" formatCode="General">
                        <c:v>1.45887038976608E-3</c:v>
                      </c:pt>
                      <c:pt idx="257" formatCode="General">
                        <c:v>1.5008915201156099E-3</c:v>
                      </c:pt>
                      <c:pt idx="258" formatCode="General">
                        <c:v>1.5441221988210601E-3</c:v>
                      </c:pt>
                      <c:pt idx="259" formatCode="General">
                        <c:v>1.58859724187175E-3</c:v>
                      </c:pt>
                      <c:pt idx="260" formatCode="General">
                        <c:v>1.6343524674105E-3</c:v>
                      </c:pt>
                      <c:pt idx="261" formatCode="General">
                        <c:v>1.68142472457989E-3</c:v>
                      </c:pt>
                      <c:pt idx="262" formatCode="General">
                        <c:v>1.72985192319885E-3</c:v>
                      </c:pt>
                      <c:pt idx="263" formatCode="General">
                        <c:v>1.77967306429353E-3</c:v>
                      </c:pt>
                      <c:pt idx="264" formatCode="General">
                        <c:v>1.8309282715068601E-3</c:v>
                      </c:pt>
                      <c:pt idx="265" formatCode="General">
                        <c:v>1.88365882341229E-3</c:v>
                      </c:pt>
                      <c:pt idx="266" formatCode="General">
                        <c:v>1.9379071867576701E-3</c:v>
                      </c:pt>
                      <c:pt idx="267" formatCode="General">
                        <c:v>1.99371705066599E-3</c:v>
                      </c:pt>
                      <c:pt idx="268" formatCode="General">
                        <c:v>2.0511333618205702E-3</c:v>
                      </c:pt>
                      <c:pt idx="269" formatCode="General">
                        <c:v>2.11020236066305E-3</c:v>
                      </c:pt>
                      <c:pt idx="270" formatCode="General">
                        <c:v>2.1709716186332998E-3</c:v>
                      </c:pt>
                      <c:pt idx="271" formatCode="General">
                        <c:v>2.23349007648127E-3</c:v>
                      </c:pt>
                      <c:pt idx="272" formatCode="General">
                        <c:v>2.2978080836815701E-3</c:v>
                      </c:pt>
                      <c:pt idx="273" formatCode="General">
                        <c:v>2.3639774389826599E-3</c:v>
                      </c:pt>
                      <c:pt idx="274" formatCode="General">
                        <c:v>2.43205143212313E-3</c:v>
                      </c:pt>
                      <c:pt idx="275" formatCode="General">
                        <c:v>2.5020848867487902E-3</c:v>
                      </c:pt>
                      <c:pt idx="276" formatCode="General">
                        <c:v>2.5741342045651301E-3</c:v>
                      </c:pt>
                      <c:pt idx="277" formatCode="General">
                        <c:v>2.6482574107606202E-3</c:v>
                      </c:pt>
                      <c:pt idx="278" formatCode="General">
                        <c:v>2.7245142007374899E-3</c:v>
                      </c:pt>
                      <c:pt idx="279" formatCode="General">
                        <c:v>2.8029659881877202E-3</c:v>
                      </c:pt>
                      <c:pt idx="280" formatCode="General">
                        <c:v>2.8836759545527199E-3</c:v>
                      </c:pt>
                      <c:pt idx="281" formatCode="General">
                        <c:v>2.9667090999067501E-3</c:v>
                      </c:pt>
                      <c:pt idx="282" formatCode="General">
                        <c:v>3.05213229530501E-3</c:v>
                      </c:pt>
                      <c:pt idx="283" formatCode="General">
                        <c:v>3.1400143366384502E-3</c:v>
                      </c:pt>
                      <c:pt idx="284" formatCode="General">
                        <c:v>3.2304260000388398E-3</c:v>
                      </c:pt>
                      <c:pt idx="285" formatCode="General">
                        <c:v>3.3234400988785598E-3</c:v>
                      </c:pt>
                      <c:pt idx="286" formatCode="General">
                        <c:v>3.41913154241115E-3</c:v>
                      </c:pt>
                      <c:pt idx="287" formatCode="General">
                        <c:v>3.5175773960997299E-3</c:v>
                      </c:pt>
                      <c:pt idx="288" formatCode="General">
                        <c:v>3.6188569436819799E-3</c:v>
                      </c:pt>
                      <c:pt idx="289" formatCode="General">
                        <c:v>3.7230517510215902E-3</c:v>
                      </c:pt>
                      <c:pt idx="290" formatCode="General">
                        <c:v>3.8302457317976502E-3</c:v>
                      </c:pt>
                      <c:pt idx="291" formatCode="General">
                        <c:v>3.9405252150848096E-3</c:v>
                      </c:pt>
                      <c:pt idx="292" formatCode="General">
                        <c:v>4.0539790148787598E-3</c:v>
                      </c:pt>
                      <c:pt idx="293" formatCode="General">
                        <c:v>4.17069850162288E-3</c:v>
                      </c:pt>
                      <c:pt idx="294" formatCode="General">
                        <c:v>4.2907776757938202E-3</c:v>
                      </c:pt>
                      <c:pt idx="295" formatCode="General">
                        <c:v>4.4143132436050897E-3</c:v>
                      </c:pt>
                      <c:pt idx="296" formatCode="General">
                        <c:v>4.5414046948897696E-3</c:v>
                      </c:pt>
                      <c:pt idx="297" formatCode="General">
                        <c:v>4.6721543832250797E-3</c:v>
                      </c:pt>
                      <c:pt idx="298" formatCode="General">
                        <c:v>4.80666760836314E-3</c:v>
                      </c:pt>
                      <c:pt idx="299" formatCode="General">
                        <c:v>4.9450527010345699E-3</c:v>
                      </c:pt>
                      <c:pt idx="300" formatCode="General">
                        <c:v>5.0874211101930404E-3</c:v>
                      </c:pt>
                      <c:pt idx="301" formatCode="General">
                        <c:v>5.2338874927711004E-3</c:v>
                      </c:pt>
                      <c:pt idx="302" formatCode="General">
                        <c:v>5.3845698060195598E-3</c:v>
                      </c:pt>
                      <c:pt idx="303" formatCode="General">
                        <c:v>5.53958940250483E-3</c:v>
                      </c:pt>
                      <c:pt idx="304" formatCode="General">
                        <c:v>5.69907112784064E-3</c:v>
                      </c:pt>
                      <c:pt idx="305" formatCode="General">
                        <c:v>5.8631434212329404E-3</c:v>
                      </c:pt>
                      <c:pt idx="306" formatCode="General">
                        <c:v>6.0319384189188802E-3</c:v>
                      </c:pt>
                      <c:pt idx="307" formatCode="General">
                        <c:v>6.20559206058326E-3</c:v>
                      </c:pt>
                      <c:pt idx="308" formatCode="General">
                        <c:v>6.3842441988379997E-3</c:v>
                      </c:pt>
                      <c:pt idx="309" formatCode="General">
                        <c:v>6.5680387118530401E-3</c:v>
                      </c:pt>
                      <c:pt idx="310" formatCode="General">
                        <c:v>6.7571236192291101E-3</c:v>
                      </c:pt>
                      <c:pt idx="311" formatCode="General">
                        <c:v>6.9516512012059101E-3</c:v>
                      </c:pt>
                      <c:pt idx="312" formatCode="General">
                        <c:v>7.1517781213015297E-3</c:v>
                      </c:pt>
                      <c:pt idx="313" formatCode="General">
                        <c:v>7.3576655524820499E-3</c:v>
                      </c:pt>
                      <c:pt idx="314" formatCode="General">
                        <c:v>7.56947930696273E-3</c:v>
                      </c:pt>
                      <c:pt idx="315" formatCode="General">
                        <c:v>7.7873899697455898E-3</c:v>
                      </c:pt>
                      <c:pt idx="316" formatCode="General">
                        <c:v>8.0115730360005803E-3</c:v>
                      </c:pt>
                      <c:pt idx="317" formatCode="General">
                        <c:v>8.2422090524013596E-3</c:v>
                      </c:pt>
                      <c:pt idx="318" formatCode="General">
                        <c:v>8.4794837625291799E-3</c:v>
                      </c:pt>
                      <c:pt idx="319" formatCode="General">
                        <c:v>8.7235882564622204E-3</c:v>
                      </c:pt>
                      <c:pt idx="320" formatCode="General">
                        <c:v>8.9747191246706392E-3</c:v>
                      </c:pt>
                      <c:pt idx="321" formatCode="General">
                        <c:v>9.23307861634152E-3</c:v>
                      </c:pt>
                      <c:pt idx="322" formatCode="General">
                        <c:v>9.49887480226096E-3</c:v>
                      </c:pt>
                      <c:pt idx="323" formatCode="General">
                        <c:v>9.7723217423846803E-3</c:v>
                      </c:pt>
                      <c:pt idx="324" formatCode="General">
                        <c:v>1.0053639658232E-2</c:v>
                      </c:pt>
                      <c:pt idx="325" formatCode="General">
                        <c:v>1.0343055110242E-2</c:v>
                      </c:pt>
                      <c:pt idx="326" formatCode="General">
                        <c:v>1.06408011802352E-2</c:v>
                      </c:pt>
                      <c:pt idx="327" formatCode="General">
                        <c:v>1.09471176591261E-2</c:v>
                      </c:pt>
                      <c:pt idx="328" formatCode="General">
                        <c:v>1.1262251240040599E-2</c:v>
                      </c:pt>
                      <c:pt idx="329" formatCode="General">
                        <c:v>1.1586455716990501E-2</c:v>
                      </c:pt>
                      <c:pt idx="330" formatCode="General">
                        <c:v>1.1919992189267901E-2</c:v>
                      </c:pt>
                      <c:pt idx="331" formatCode="General">
                        <c:v>1.22631292717223E-2</c:v>
                      </c:pt>
                      <c:pt idx="332" formatCode="General">
                        <c:v>1.26161433110908E-2</c:v>
                      </c:pt>
                      <c:pt idx="333" formatCode="General">
                        <c:v>1.29793186085545E-2</c:v>
                      </c:pt>
                      <c:pt idx="334" formatCode="General">
                        <c:v>1.3352947648702099E-2</c:v>
                      </c:pt>
                      <c:pt idx="335" formatCode="General">
                        <c:v>1.37373313350831E-2</c:v>
                      </c:pt>
                      <c:pt idx="336" formatCode="General">
                        <c:v>1.4132779232541699E-2</c:v>
                      </c:pt>
                      <c:pt idx="337" formatCode="General">
                        <c:v>1.4539609816526E-2</c:v>
                      </c:pt>
                      <c:pt idx="338" formatCode="General">
                        <c:v>1.49581507295735E-2</c:v>
                      </c:pt>
                      <c:pt idx="339" formatCode="General">
                        <c:v>1.5388739045179E-2</c:v>
                      </c:pt>
                      <c:pt idx="340" formatCode="General">
                        <c:v>1.5831721539258201E-2</c:v>
                      </c:pt>
                      <c:pt idx="341" formatCode="General">
                        <c:v>1.62874549694252E-2</c:v>
                      </c:pt>
                      <c:pt idx="342" formatCode="General">
                        <c:v>1.67563063623078E-2</c:v>
                      </c:pt>
                      <c:pt idx="343" formatCode="General">
                        <c:v>1.7238653309134801E-2</c:v>
                      </c:pt>
                      <c:pt idx="344" formatCode="General">
                        <c:v>1.77348842698298E-2</c:v>
                      </c:pt>
                      <c:pt idx="345" formatCode="General">
                        <c:v>1.8245398885859E-2</c:v>
                      </c:pt>
                      <c:pt idx="346" formatCode="General">
                        <c:v>1.8770608302084098E-2</c:v>
                      </c:pt>
                      <c:pt idx="347" formatCode="General">
                        <c:v>1.9310935497879399E-2</c:v>
                      </c:pt>
                      <c:pt idx="348" formatCode="General">
                        <c:v>1.9866815627779501E-2</c:v>
                      </c:pt>
                      <c:pt idx="349" formatCode="General">
                        <c:v>2.04386963719329E-2</c:v>
                      </c:pt>
                      <c:pt idx="350" formatCode="General">
                        <c:v>2.1027038296642899E-2</c:v>
                      </c:pt>
                      <c:pt idx="351" formatCode="General">
                        <c:v>2.1632315225286299E-2</c:v>
                      </c:pt>
                      <c:pt idx="352" formatCode="General">
                        <c:v>2.2255014619908899E-2</c:v>
                      </c:pt>
                      <c:pt idx="353" formatCode="General">
                        <c:v>2.2895637973804801E-2</c:v>
                      </c:pt>
                      <c:pt idx="354" formatCode="General">
                        <c:v>2.3554701215395799E-2</c:v>
                      </c:pt>
                      <c:pt idx="355" formatCode="General">
                        <c:v>2.4232735123736901E-2</c:v>
                      </c:pt>
                      <c:pt idx="356" formatCode="General">
                        <c:v>2.4930285755980199E-2</c:v>
                      </c:pt>
                      <c:pt idx="357" formatCode="General">
                        <c:v>2.5647914887145101E-2</c:v>
                      </c:pt>
                      <c:pt idx="358" formatCode="General">
                        <c:v>2.6386200462545199E-2</c:v>
                      </c:pt>
                      <c:pt idx="359" formatCode="General">
                        <c:v>2.7145737063239E-2</c:v>
                      </c:pt>
                      <c:pt idx="360" formatCode="General">
                        <c:v>2.79271363848781E-2</c:v>
                      </c:pt>
                      <c:pt idx="361" formatCode="General">
                        <c:v>2.8731027730338199E-2</c:v>
                      </c:pt>
                      <c:pt idx="362" formatCode="General">
                        <c:v>2.9558058516531E-2</c:v>
                      </c:pt>
                      <c:pt idx="363" formatCode="General">
                        <c:v>3.0408894795803498E-2</c:v>
                      </c:pt>
                      <c:pt idx="364" formatCode="General">
                        <c:v>3.1284221792346099E-2</c:v>
                      </c:pt>
                      <c:pt idx="365" formatCode="General">
                        <c:v>3.2184744454039897E-2</c:v>
                      </c:pt>
                      <c:pt idx="366" formatCode="General">
                        <c:v>3.3111188020189801E-2</c:v>
                      </c:pt>
                      <c:pt idx="367" formatCode="General">
                        <c:v>3.4064298605598203E-2</c:v>
                      </c:pt>
                      <c:pt idx="368" formatCode="General">
                        <c:v>3.5044843801451502E-2</c:v>
                      </c:pt>
                      <c:pt idx="369" formatCode="General">
                        <c:v>3.60536132935027E-2</c:v>
                      </c:pt>
                      <c:pt idx="370" formatCode="General">
                        <c:v>3.70914194980475E-2</c:v>
                      </c:pt>
                      <c:pt idx="371" formatCode="General">
                        <c:v>3.81590982162072E-2</c:v>
                      </c:pt>
                      <c:pt idx="372" formatCode="General">
                        <c:v>3.9257509307043803E-2</c:v>
                      </c:pt>
                      <c:pt idx="373" formatCode="General">
                        <c:v>4.0387537380051103E-2</c:v>
                      </c:pt>
                      <c:pt idx="374" formatCode="General">
                        <c:v>4.1550092507577997E-2</c:v>
                      </c:pt>
                      <c:pt idx="375" formatCode="General">
                        <c:v>4.2746110957758897E-2</c:v>
                      </c:pt>
                      <c:pt idx="376" formatCode="General">
                        <c:v>4.3976555948540601E-2</c:v>
                      </c:pt>
                      <c:pt idx="377" formatCode="General">
                        <c:v>4.5242418423413797E-2</c:v>
                      </c:pt>
                      <c:pt idx="378" formatCode="General">
                        <c:v>4.6544717849472603E-2</c:v>
                      </c:pt>
                      <c:pt idx="379" formatCode="General">
                        <c:v>4.7884503038446602E-2</c:v>
                      </c:pt>
                      <c:pt idx="380" formatCode="General">
                        <c:v>4.9262852991365298E-2</c:v>
                      </c:pt>
                      <c:pt idx="381" formatCode="General">
                        <c:v>5.0680877767535402E-2</c:v>
                      </c:pt>
                      <c:pt idx="382" formatCode="General">
                        <c:v>5.2139719378531402E-2</c:v>
                      </c:pt>
                      <c:pt idx="383" formatCode="General">
                        <c:v>5.3640552707919099E-2</c:v>
                      </c:pt>
                      <c:pt idx="384" formatCode="General">
                        <c:v>5.5184586457452098E-2</c:v>
                      </c:pt>
                      <c:pt idx="385" formatCode="General">
                        <c:v>5.67730641205045E-2</c:v>
                      </c:pt>
                      <c:pt idx="386" formatCode="General">
                        <c:v>5.8407264983522902E-2</c:v>
                      </c:pt>
                      <c:pt idx="387" formatCode="General">
                        <c:v>6.0088505156304602E-2</c:v>
                      </c:pt>
                      <c:pt idx="388" formatCode="General">
                        <c:v>6.1818138631931502E-2</c:v>
                      </c:pt>
                      <c:pt idx="389" formatCode="General">
                        <c:v>6.3597558377213606E-2</c:v>
                      </c:pt>
                      <c:pt idx="390" formatCode="General">
                        <c:v>6.5428197454519998E-2</c:v>
                      </c:pt>
                      <c:pt idx="391" formatCode="General">
                        <c:v>6.7311530175900997E-2</c:v>
                      </c:pt>
                      <c:pt idx="392" formatCode="General">
                        <c:v>6.9249073290430799E-2</c:v>
                      </c:pt>
                      <c:pt idx="393" formatCode="General">
                        <c:v>7.1242387205727203E-2</c:v>
                      </c:pt>
                      <c:pt idx="394" formatCode="General">
                        <c:v>7.3293077244631896E-2</c:v>
                      </c:pt>
                      <c:pt idx="395" formatCode="General">
                        <c:v>7.5402794938062706E-2</c:v>
                      </c:pt>
                      <c:pt idx="396" formatCode="General">
                        <c:v>7.7573239355080606E-2</c:v>
                      </c:pt>
                      <c:pt idx="397" formatCode="General">
                        <c:v>7.9806158471241506E-2</c:v>
                      </c:pt>
                      <c:pt idx="398" formatCode="General">
                        <c:v>8.2103350576334402E-2</c:v>
                      </c:pt>
                      <c:pt idx="399" formatCode="General">
                        <c:v>8.4466665722641304E-2</c:v>
                      </c:pt>
                      <c:pt idx="400" formatCode="General">
                        <c:v>8.6898007214883402E-2</c:v>
                      </c:pt>
                      <c:pt idx="401" formatCode="General">
                        <c:v>8.9399333143055204E-2</c:v>
                      </c:pt>
                      <c:pt idx="402" formatCode="General">
                        <c:v>9.1972657959378895E-2</c:v>
                      </c:pt>
                      <c:pt idx="403" formatCode="General">
                        <c:v>9.4620054100651593E-2</c:v>
                      </c:pt>
                      <c:pt idx="404" formatCode="General">
                        <c:v>9.7343653657290002E-2</c:v>
                      </c:pt>
                      <c:pt idx="405" formatCode="General">
                        <c:v>0.100145650090417</c:v>
                      </c:pt>
                      <c:pt idx="406" formatCode="General">
                        <c:v>0.103028299998375</c:v>
                      </c:pt>
                      <c:pt idx="407" formatCode="General">
                        <c:v>0.10599392493408299</c:v>
                      </c:pt>
                      <c:pt idx="408" formatCode="General">
                        <c:v>0.109044913274713</c:v>
                      </c:pt>
                      <c:pt idx="409" formatCode="General">
                        <c:v>0.112183722145173</c:v>
                      </c:pt>
                      <c:pt idx="410" formatCode="General">
                        <c:v>0.115412879396966</c:v>
                      </c:pt>
                      <c:pt idx="411" formatCode="General">
                        <c:v>0.11873498564399999</c:v>
                      </c:pt>
                      <c:pt idx="412" formatCode="General">
                        <c:v>0.122152716357009</c:v>
                      </c:pt>
                      <c:pt idx="413" formatCode="General">
                        <c:v>0.125668824018247</c:v>
                      </c:pt>
                      <c:pt idx="414" formatCode="General">
                        <c:v>0.12928614033821301</c:v>
                      </c:pt>
                      <c:pt idx="415" formatCode="General">
                        <c:v>0.13300757853617801</c:v>
                      </c:pt>
                      <c:pt idx="416" formatCode="General">
                        <c:v>0.13683613568636099</c:v>
                      </c:pt>
                      <c:pt idx="417" formatCode="General">
                        <c:v>0.140774895131629</c:v>
                      </c:pt>
                      <c:pt idx="418" formatCode="General">
                        <c:v>0.14482702896668101</c:v>
                      </c:pt>
                      <c:pt idx="419" formatCode="General">
                        <c:v>0.14899580059270601</c:v>
                      </c:pt>
                      <c:pt idx="420" formatCode="General">
                        <c:v>0.15328456734557699</c:v>
                      </c:pt>
                      <c:pt idx="421" formatCode="General">
                        <c:v>0.15769678319969099</c:v>
                      </c:pt>
                      <c:pt idx="422" formatCode="General">
                        <c:v>0.16223600154964299</c:v>
                      </c:pt>
                      <c:pt idx="423" formatCode="General">
                        <c:v>0.166905878071965</c:v>
                      </c:pt>
                      <c:pt idx="424" formatCode="General">
                        <c:v>0.17171017366923699</c:v>
                      </c:pt>
                      <c:pt idx="425" formatCode="General">
                        <c:v>0.17665275749894599</c:v>
                      </c:pt>
                      <c:pt idx="426" formatCode="General">
                        <c:v>0.18173761008952799</c:v>
                      </c:pt>
                      <c:pt idx="427" formatCode="General">
                        <c:v>0.18696882654609501</c:v>
                      </c:pt>
                      <c:pt idx="428" formatCode="General">
                        <c:v>0.192350619848451</c:v>
                      </c:pt>
                      <c:pt idx="429" formatCode="General">
                        <c:v>0.197887324244028</c:v>
                      </c:pt>
                      <c:pt idx="430" formatCode="General">
                        <c:v>0.20358339873848599</c:v>
                      </c:pt>
                      <c:pt idx="431" formatCode="General">
                        <c:v>0.209443430686794</c:v>
                      </c:pt>
                      <c:pt idx="432" formatCode="General">
                        <c:v>0.21547213948767099</c:v>
                      </c:pt>
                      <c:pt idx="433" formatCode="General">
                        <c:v>0.22167438038437201</c:v>
                      </c:pt>
                      <c:pt idx="434" formatCode="General">
                        <c:v>0.228055148374876</c:v>
                      </c:pt>
                      <c:pt idx="435" formatCode="General">
                        <c:v>0.23461958223463</c:v>
                      </c:pt>
                      <c:pt idx="436" formatCode="General">
                        <c:v>0.24137296865507399</c:v>
                      </c:pt>
                      <c:pt idx="437" formatCode="General">
                        <c:v>0.24832074650130401</c:v>
                      </c:pt>
                      <c:pt idx="438" formatCode="General">
                        <c:v>0.25546851119227898</c:v>
                      </c:pt>
                      <c:pt idx="439" formatCode="General">
                        <c:v>0.26282201920711501</c:v>
                      </c:pt>
                      <c:pt idx="440" formatCode="General">
                        <c:v>0.27038719272108602</c:v>
                      </c:pt>
                      <c:pt idx="441" formatCode="General">
                        <c:v>0.27817012437506899</c:v>
                      </c:pt>
                      <c:pt idx="442" formatCode="General">
                        <c:v>0.286177082182277</c:v>
                      </c:pt>
                      <c:pt idx="443" formatCode="General">
                        <c:v>0.29441451457622397</c:v>
                      </c:pt>
                      <c:pt idx="444" formatCode="General">
                        <c:v>0.30288905560400198</c:v>
                      </c:pt>
                      <c:pt idx="445" formatCode="General">
                        <c:v>0.31160753026902499</c:v>
                      </c:pt>
                      <c:pt idx="446" formatCode="General">
                        <c:v>0.32057696002758301</c:v>
                      </c:pt>
                      <c:pt idx="447" formatCode="General">
                        <c:v>0.32980456844358802</c:v>
                      </c:pt>
                      <c:pt idx="448" formatCode="General">
                        <c:v>0.33929778700610302</c:v>
                      </c:pt>
                      <c:pt idx="449" formatCode="General">
                        <c:v>0.34906426111432298</c:v>
                      </c:pt>
                      <c:pt idx="450" formatCode="General">
                        <c:v>0.35911185623481601</c:v>
                      </c:pt>
                      <c:pt idx="451" formatCode="General">
                        <c:v>0.36944866423601802</c:v>
                      </c:pt>
                      <c:pt idx="452" formatCode="General">
                        <c:v>0.38008300990504001</c:v>
                      </c:pt>
                      <c:pt idx="453" formatCode="General">
                        <c:v>0.39102345765207203</c:v>
                      </c:pt>
                      <c:pt idx="454" formatCode="General">
                        <c:v>0.40227881840775997</c:v>
                      </c:pt>
                      <c:pt idx="455" formatCode="General">
                        <c:v>0.41385815671912501</c:v>
                      </c:pt>
                      <c:pt idx="456" formatCode="General">
                        <c:v>0.42577079804972501</c:v>
                      </c:pt>
                      <c:pt idx="457" formatCode="General">
                        <c:v>0.43802633628995902</c:v>
                      </c:pt>
                      <c:pt idx="458" formatCode="General">
                        <c:v>0.45063464148353699</c:v>
                      </c:pt>
                      <c:pt idx="459" formatCode="General">
                        <c:v>0.46360586777635798</c:v>
                      </c:pt>
                      <c:pt idx="460" formatCode="General">
                        <c:v>0.47695046159419102</c:v>
                      </c:pt>
                      <c:pt idx="461" formatCode="General">
                        <c:v>0.49067917005574202</c:v>
                      </c:pt>
                      <c:pt idx="462" formatCode="General">
                        <c:v>0.50480304962788802</c:v>
                      </c:pt>
                      <c:pt idx="463" formatCode="General">
                        <c:v>0.51933347503004101</c:v>
                      </c:pt>
                      <c:pt idx="464" formatCode="General">
                        <c:v>0.53428214839482302</c:v>
                      </c:pt>
                      <c:pt idx="465" formatCode="General">
                        <c:v>0.54966110869242302</c:v>
                      </c:pt>
                      <c:pt idx="466" formatCode="General">
                        <c:v>0.56548274142622501</c:v>
                      </c:pt>
                      <c:pt idx="467" formatCode="General">
                        <c:v>0.58175978860752198</c:v>
                      </c:pt>
                      <c:pt idx="468" formatCode="General">
                        <c:v>0.59850535901733903</c:v>
                      </c:pt>
                      <c:pt idx="469" formatCode="General">
                        <c:v>0.61573293876364399</c:v>
                      </c:pt>
                      <c:pt idx="470" formatCode="General">
                        <c:v>0.63345640214243104</c:v>
                      </c:pt>
                      <c:pt idx="471" formatCode="General">
                        <c:v>0.65169002281143895</c:v>
                      </c:pt>
                      <c:pt idx="472" formatCode="General">
                        <c:v>0.67044848528549295</c:v>
                      </c:pt>
                      <c:pt idx="473" formatCode="General">
                        <c:v>0.68974689676273804</c:v>
                      </c:pt>
                      <c:pt idx="474" formatCode="General">
                        <c:v>0.70960079929127395</c:v>
                      </c:pt>
                      <c:pt idx="475" formatCode="General">
                        <c:v>0.73002618228600302</c:v>
                      </c:pt>
                      <c:pt idx="476" formatCode="General">
                        <c:v>0.75103949540576398</c:v>
                      </c:pt>
                      <c:pt idx="477" formatCode="General">
                        <c:v>0.77265766180113105</c:v>
                      </c:pt>
                      <c:pt idx="478" formatCode="General">
                        <c:v>0.79489809174353099</c:v>
                      </c:pt>
                      <c:pt idx="479" formatCode="General">
                        <c:v>0.81777869664667402</c:v>
                      </c:pt>
                      <c:pt idx="480" formatCode="General">
                        <c:v>0.84131790349157898</c:v>
                      </c:pt>
                      <c:pt idx="481" formatCode="General">
                        <c:v>0.86553466966680503</c:v>
                      </c:pt>
                      <c:pt idx="482" formatCode="General">
                        <c:v>0.89044849823586703</c:v>
                      </c:pt>
                      <c:pt idx="483" formatCode="General">
                        <c:v>0.91607945364408905</c:v>
                      </c:pt>
                      <c:pt idx="484" formatCode="General">
                        <c:v>0.94244817787758906</c:v>
                      </c:pt>
                      <c:pt idx="485" formatCode="General">
                        <c:v>0.96957590708737595</c:v>
                      </c:pt>
                      <c:pt idx="486" formatCode="General">
                        <c:v>0.99748448869196404</c:v>
                      </c:pt>
                      <c:pt idx="487" formatCode="General">
                        <c:v>1.02619639897227</c:v>
                      </c:pt>
                      <c:pt idx="488" formatCode="General">
                        <c:v>1.0557347611729899</c:v>
                      </c:pt>
                      <c:pt idx="489" formatCode="General">
                        <c:v>1.0861233641249499</c:v>
                      </c:pt>
                      <c:pt idx="490" formatCode="General">
                        <c:v>1.11738668140358</c:v>
                      </c:pt>
                      <c:pt idx="491" formatCode="General">
                        <c:v>1.14954989103876</c:v>
                      </c:pt>
                      <c:pt idx="492" formatCode="General">
                        <c:v>1.1826388957920599</c:v>
                      </c:pt>
                      <c:pt idx="493" formatCode="General">
                        <c:v>1.2166803440176199</c:v>
                      </c:pt>
                      <c:pt idx="494" formatCode="General">
                        <c:v>1.2517016511235199</c:v>
                      </c:pt>
                      <c:pt idx="495" formatCode="General">
                        <c:v>1.28773102165084</c:v>
                      </c:pt>
                      <c:pt idx="496" formatCode="General">
                        <c:v>1.32479747198834</c:v>
                      </c:pt>
                      <c:pt idx="497" formatCode="General">
                        <c:v>1.36293085374088</c:v>
                      </c:pt>
                      <c:pt idx="498" formatCode="General">
                        <c:v>1.40216187777056</c:v>
                      </c:pt>
                      <c:pt idx="499" formatCode="General">
                        <c:v>1.4425221389298</c:v>
                      </c:pt>
                      <c:pt idx="500" formatCode="General">
                        <c:v>1.4840441415063499</c:v>
                      </c:pt>
                      <c:pt idx="501" formatCode="General">
                        <c:v>1.5267613254008201</c:v>
                      </c:pt>
                      <c:pt idx="502" formatCode="General">
                        <c:v>1.5707080930575399</c:v>
                      </c:pt>
                      <c:pt idx="503" formatCode="General">
                        <c:v>1.6159198371707599</c:v>
                      </c:pt>
                      <c:pt idx="504" formatCode="General">
                        <c:v>1.66243296918824</c:v>
                      </c:pt>
                      <c:pt idx="505" formatCode="General">
                        <c:v>1.7102849486354099</c:v>
                      </c:pt>
                      <c:pt idx="506" formatCode="General">
                        <c:v>1.7595143132834601</c:v>
                      </c:pt>
                      <c:pt idx="507" formatCode="General">
                        <c:v>1.81016071018595</c:v>
                      </c:pt>
                      <c:pt idx="508" formatCode="General">
                        <c:v>1.86226492760868</c:v>
                      </c:pt>
                      <c:pt idx="509" formatCode="General">
                        <c:v>1.91586892787867</c:v>
                      </c:pt>
                      <c:pt idx="510" formatCode="General">
                        <c:v>1.97101588117866</c:v>
                      </c:pt>
                      <c:pt idx="511" formatCode="General">
                        <c:v>2.0277502003144598</c:v>
                      </c:pt>
                      <c:pt idx="512" formatCode="General">
                        <c:v>2.0861175764828599</c:v>
                      </c:pt>
                      <c:pt idx="513" formatCode="General">
                        <c:v>2.14616501606928</c:v>
                      </c:pt>
                      <c:pt idx="514" formatCode="General">
                        <c:v>2.20794087850452</c:v>
                      </c:pt>
                      <c:pt idx="515" formatCode="General">
                        <c:v>2.2714949152111901</c:v>
                      </c:pt>
                      <c:pt idx="516" formatCode="General">
                        <c:v>2.3368783096712602</c:v>
                      </c:pt>
                      <c:pt idx="517" formatCode="General">
                        <c:v>2.40414371864679</c:v>
                      </c:pt>
                      <c:pt idx="518" formatCode="General">
                        <c:v>2.4733453145873101</c:v>
                      </c:pt>
                      <c:pt idx="519" formatCode="General">
                        <c:v>2.5445388292577902</c:v>
                      </c:pt>
                      <c:pt idx="520" formatCode="General">
                        <c:v>2.61778159862242</c:v>
                      </c:pt>
                      <c:pt idx="521" formatCode="General">
                        <c:v>2.69313260902035</c:v>
                      </c:pt>
                      <c:pt idx="522" formatCode="General">
                        <c:v>2.7706525446705501</c:v>
                      </c:pt>
                      <c:pt idx="523" formatCode="General">
                        <c:v>2.85040383654409</c:v>
                      </c:pt>
                      <c:pt idx="524" formatCode="General">
                        <c:v>2.9324507126431398</c:v>
                      </c:pt>
                      <c:pt idx="525" formatCode="General">
                        <c:v>3.0168592497272502</c:v>
                      </c:pt>
                      <c:pt idx="526" formatCode="General">
                        <c:v>3.1036974265284898</c:v>
                      </c:pt>
                      <c:pt idx="527" formatCode="General">
                        <c:v>3.1930351784984099</c:v>
                      </c:pt>
                      <c:pt idx="528" formatCode="General">
                        <c:v>3.2849444541307999</c:v>
                      </c:pt>
                      <c:pt idx="529" formatCode="General">
                        <c:v>3.3794992729056599</c:v>
                      </c:pt>
                      <c:pt idx="530" formatCode="General">
                        <c:v>3.47677578490112</c:v>
                      </c:pt>
                      <c:pt idx="531" formatCode="General">
                        <c:v>3.5768523321211299</c:v>
                      </c:pt>
                      <c:pt idx="532" formatCode="General">
                        <c:v>3.6798095115885401</c:v>
                      </c:pt>
                      <c:pt idx="533" formatCode="General">
                        <c:v>3.7857302402541602</c:v>
                      </c:pt>
                      <c:pt idx="534" formatCode="General">
                        <c:v>3.8946998217742901</c:v>
                      </c:pt>
                      <c:pt idx="535" formatCode="General">
                        <c:v>4.0068060152103104</c:v>
                      </c:pt>
                      <c:pt idx="536" formatCode="General">
                        <c:v>4.1221391057057799</c:v>
                      </c:pt>
                      <c:pt idx="537" formatCode="General">
                        <c:v>4.2407919771979099</c:v>
                      </c:pt>
                      <c:pt idx="538" formatCode="General">
                        <c:v>4.3628601872220001</c:v>
                      </c:pt>
                      <c:pt idx="539" formatCode="General">
                        <c:v>4.4884420438690498</c:v>
                      </c:pt>
                      <c:pt idx="540" formatCode="General">
                        <c:v>4.61763868495854</c:v>
                      </c:pt>
                      <c:pt idx="541" formatCode="General">
                        <c:v>4.7505541594901803</c:v>
                      </c:pt>
                      <c:pt idx="542" formatCode="General">
                        <c:v>4.8872955114401497</c:v>
                      </c:pt>
                      <c:pt idx="543" formatCode="General">
                        <c:v>5.0279728659693603</c:v>
                      </c:pt>
                      <c:pt idx="544" formatCode="General">
                        <c:v>5.1726995181131503</c:v>
                      </c:pt>
                      <c:pt idx="545" formatCode="General">
                        <c:v>5.3215920240239196</c:v>
                      </c:pt>
                      <c:pt idx="546" formatCode="General">
                        <c:v>5.4747702948400203</c:v>
                      </c:pt>
                      <c:pt idx="547" formatCode="General">
                        <c:v>5.6323576932566297</c:v>
                      </c:pt>
                      <c:pt idx="548" formatCode="General">
                        <c:v>5.7944811328764096</c:v>
                      </c:pt>
                      <c:pt idx="549" formatCode="General">
                        <c:v>5.9612711804198302</c:v>
                      </c:pt>
                      <c:pt idx="550" formatCode="General">
                        <c:v>6.13286216087754</c:v>
                      </c:pt>
                      <c:pt idx="551" formatCode="General">
                        <c:v>6.3093922656895396</c:v>
                      </c:pt>
                      <c:pt idx="552" formatCode="General">
                        <c:v>6.4910036640381703</c:v>
                      </c:pt>
                      <c:pt idx="553" formatCode="General">
                        <c:v>6.6778426173445702</c:v>
                      </c:pt>
                      <c:pt idx="554" formatCode="General">
                        <c:v>6.87005959706089</c:v>
                      </c:pt>
                      <c:pt idx="555" formatCode="General">
                        <c:v>7.0678094058530396</c:v>
                      </c:pt>
                      <c:pt idx="556" formatCode="General">
                        <c:v>7.2712513022715699</c:v>
                      </c:pt>
                      <c:pt idx="557" formatCode="General">
                        <c:v>7.4805491290111599</c:v>
                      </c:pt>
                      <c:pt idx="558" formatCode="General">
                        <c:v>7.6958714448619698</c:v>
                      </c:pt>
                      <c:pt idx="559" formatCode="General">
                        <c:v>7.9173916604590504</c:v>
                      </c:pt>
                      <c:pt idx="560" formatCode="General">
                        <c:v>8.1452881779392907</c:v>
                      </c:pt>
                      <c:pt idx="561" formatCode="General">
                        <c:v>8.3797445346181902</c:v>
                      </c:pt>
                      <c:pt idx="562" formatCode="General">
                        <c:v>8.6209495508024006</c:v>
                      </c:pt>
                      <c:pt idx="563" formatCode="General">
                        <c:v>8.8690974818568193</c:v>
                      </c:pt>
                      <c:pt idx="564" formatCode="General">
                        <c:v>9.12438817464888</c:v>
                      </c:pt>
                      <c:pt idx="565" formatCode="General">
                        <c:v>9.3870272284959899</c:v>
                      </c:pt>
                      <c:pt idx="566" formatCode="General">
                        <c:v>9.6572261607457097</c:v>
                      </c:pt>
                      <c:pt idx="567" formatCode="General">
                        <c:v>9.9352025771220394</c:v>
                      </c:pt>
                      <c:pt idx="568" formatCode="General">
                        <c:v>10.221180346974901</c:v>
                      </c:pt>
                      <c:pt idx="569" formatCode="General">
                        <c:v>10.5153897835746</c:v>
                      </c:pt>
                      <c:pt idx="570" formatCode="General">
                        <c:v>10.8180678295947</c:v>
                      </c:pt>
                      <c:pt idx="571" formatCode="General">
                        <c:v>11.129458247935499</c:v>
                      </c:pt>
                      <c:pt idx="572" formatCode="General">
                        <c:v>11.4498118180387</c:v>
                      </c:pt>
                      <c:pt idx="573" formatCode="General">
                        <c:v>11.7793865378543</c:v>
                      </c:pt>
                      <c:pt idx="574" formatCode="General">
                        <c:v>12.118447831619401</c:v>
                      </c:pt>
                      <c:pt idx="575" formatCode="General">
                        <c:v>12.467268763619501</c:v>
                      </c:pt>
                      <c:pt idx="576" formatCode="General">
                        <c:v>12.8261302581009</c:v>
                      </c:pt>
                      <c:pt idx="577" formatCode="General">
                        <c:v>13.1953213255149</c:v>
                      </c:pt>
                      <c:pt idx="578" formatCode="General">
                        <c:v>13.575139295273001</c:v>
                      </c:pt>
                      <c:pt idx="579" formatCode="General">
                        <c:v>13.965890055202401</c:v>
                      </c:pt>
                      <c:pt idx="580" formatCode="General">
                        <c:v>14.3678882978939</c:v>
                      </c:pt>
                      <c:pt idx="581" formatCode="General">
                        <c:v>14.7814577741407</c:v>
                      </c:pt>
                      <c:pt idx="582" formatCode="General">
                        <c:v>15.206931553672399</c:v>
                      </c:pt>
                      <c:pt idx="583" formatCode="General">
                        <c:v>15.6446522933939</c:v>
                      </c:pt>
                      <c:pt idx="584" formatCode="General">
                        <c:v>16.0949725133455</c:v>
                      </c:pt>
                      <c:pt idx="585" formatCode="General">
                        <c:v>16.5582548806061</c:v>
                      </c:pt>
                      <c:pt idx="586" formatCode="General">
                        <c:v>17.0348725013686</c:v>
                      </c:pt>
                      <c:pt idx="587" formatCode="General">
                        <c:v>17.5252092214225</c:v>
                      </c:pt>
                      <c:pt idx="588" formatCode="General">
                        <c:v>18.029659935285199</c:v>
                      </c:pt>
                      <c:pt idx="589" formatCode="General">
                        <c:v>18.548630904231899</c:v>
                      </c:pt>
                      <c:pt idx="590" formatCode="General">
                        <c:v>19.082540083480101</c:v>
                      </c:pt>
                      <c:pt idx="591" formatCode="General">
                        <c:v>19.6318174587906</c:v>
                      </c:pt>
                      <c:pt idx="592" formatCode="General">
                        <c:v>20.196905392758701</c:v>
                      </c:pt>
                      <c:pt idx="593" formatCode="General">
                        <c:v>20.7782589810727</c:v>
                      </c:pt>
                      <c:pt idx="594" formatCode="General">
                        <c:v>21.376346419026302</c:v>
                      </c:pt>
                      <c:pt idx="595" formatCode="General">
                        <c:v>21.991649378582</c:v>
                      </c:pt>
                      <c:pt idx="596" formatCode="General">
                        <c:v>22.624663396287101</c:v>
                      </c:pt>
                      <c:pt idx="597" formatCode="General">
                        <c:v>23.275898272356301</c:v>
                      </c:pt>
                      <c:pt idx="598" formatCode="General">
                        <c:v>23.945878481240499</c:v>
                      </c:pt>
                      <c:pt idx="599" formatCode="General">
                        <c:v>24.6351435940153</c:v>
                      </c:pt>
                      <c:pt idx="600" formatCode="General">
                        <c:v>25.344248712925399</c:v>
                      </c:pt>
                      <c:pt idx="601" formatCode="General">
                        <c:v>26.073764918439501</c:v>
                      </c:pt>
                      <c:pt idx="602" formatCode="General">
                        <c:v>26.8242797291709</c:v>
                      </c:pt>
                      <c:pt idx="603" formatCode="General">
                        <c:v>27.596397575038999</c:v>
                      </c:pt>
                      <c:pt idx="604" formatCode="General">
                        <c:v>28.390740284048</c:v>
                      </c:pt>
                      <c:pt idx="605" formatCode="General">
                        <c:v>29.207947583079498</c:v>
                      </c:pt>
                      <c:pt idx="606" formatCode="General">
                        <c:v>30.048677613098398</c:v>
                      </c:pt>
                      <c:pt idx="607" formatCode="General">
                        <c:v>30.913607459188999</c:v>
                      </c:pt>
                      <c:pt idx="608" formatCode="General">
                        <c:v>31.803433695848501</c:v>
                      </c:pt>
                      <c:pt idx="609" formatCode="General">
                        <c:v>32.718872947975697</c:v>
                      </c:pt>
                      <c:pt idx="610" formatCode="General">
                        <c:v>33.660662468007402</c:v>
                      </c:pt>
                      <c:pt idx="611" formatCode="General">
                        <c:v>34.629560729667602</c:v>
                      </c:pt>
                      <c:pt idx="612" formatCode="General">
                        <c:v>35.626348038807002</c:v>
                      </c:pt>
                      <c:pt idx="613" formatCode="General">
                        <c:v>36.651827161825501</c:v>
                      </c:pt>
                      <c:pt idx="614" formatCode="General">
                        <c:v>37.706823972182796</c:v>
                      </c:pt>
                      <c:pt idx="615" formatCode="General">
                        <c:v>38.792188115519103</c:v>
                      </c:pt>
                      <c:pt idx="616" formatCode="General">
                        <c:v>39.908793693919897</c:v>
                      </c:pt>
                      <c:pt idx="617" formatCode="General">
                        <c:v>41.057539969877801</c:v>
                      </c:pt>
                      <c:pt idx="618" formatCode="General">
                        <c:v>42.239352090516803</c:v>
                      </c:pt>
                      <c:pt idx="619" formatCode="General">
                        <c:v>43.455181832662902</c:v>
                      </c:pt>
                      <c:pt idx="620" formatCode="General">
                        <c:v>44.7060083693612</c:v>
                      </c:pt>
                      <c:pt idx="621" formatCode="General">
                        <c:v>45.992839058456902</c:v>
                      </c:pt>
                      <c:pt idx="622" formatCode="General">
                        <c:v>47.316710253874199</c:v>
                      </c:pt>
                      <c:pt idx="623" formatCode="General">
                        <c:v>48.6786881402479</c:v>
                      </c:pt>
                      <c:pt idx="624" formatCode="General">
                        <c:v>50.079869591579801</c:v>
                      </c:pt>
                      <c:pt idx="625" formatCode="General">
                        <c:v>51.521383054609501</c:v>
                      </c:pt>
                      <c:pt idx="626" formatCode="General">
                        <c:v>53.004389457613598</c:v>
                      </c:pt>
                      <c:pt idx="627" formatCode="General">
                        <c:v>54.530083145363697</c:v>
                      </c:pt>
                      <c:pt idx="628" formatCode="General">
                        <c:v>56.099692840996497</c:v>
                      </c:pt>
                      <c:pt idx="629" formatCode="General">
                        <c:v>57.71448263557</c:v>
                      </c:pt>
                      <c:pt idx="630" formatCode="General">
                        <c:v>59.375753006104802</c:v>
                      </c:pt>
                      <c:pt idx="631" formatCode="General">
                        <c:v>61.084841862927803</c:v>
                      </c:pt>
                      <c:pt idx="632" formatCode="General">
                        <c:v>62.843125627162898</c:v>
                      </c:pt>
                      <c:pt idx="633" formatCode="General">
                        <c:v>64.652020339237595</c:v>
                      </c:pt>
                      <c:pt idx="634" formatCode="General">
                        <c:v>66.512982799296097</c:v>
                      </c:pt>
                      <c:pt idx="635" formatCode="General">
                        <c:v>68.427511740438703</c:v>
                      </c:pt>
                      <c:pt idx="636" formatCode="General">
                        <c:v>70.397149035732397</c:v>
                      </c:pt>
                      <c:pt idx="637" formatCode="General">
                        <c:v>72.423480939963994</c:v>
                      </c:pt>
                      <c:pt idx="638" formatCode="General">
                        <c:v>74.508139367136096</c:v>
                      </c:pt>
                      <c:pt idx="639" formatCode="General">
                        <c:v>76.652803204735804</c:v>
                      </c:pt>
                      <c:pt idx="640" formatCode="General">
                        <c:v>78.859199665832406</c:v>
                      </c:pt>
                      <c:pt idx="641" formatCode="General">
                        <c:v>81.129105680095194</c:v>
                      </c:pt>
                      <c:pt idx="642" formatCode="General">
                        <c:v>83.464349324850602</c:v>
                      </c:pt>
                      <c:pt idx="643" formatCode="General">
                        <c:v>85.866811297330798</c:v>
                      </c:pt>
                      <c:pt idx="644" formatCode="General">
                        <c:v>88.338426429300299</c:v>
                      </c:pt>
                      <c:pt idx="645" formatCode="General">
                        <c:v>90.881185245280406</c:v>
                      </c:pt>
                      <c:pt idx="646" formatCode="General">
                        <c:v>93.4971355656252</c:v>
                      </c:pt>
                      <c:pt idx="647" formatCode="General">
                        <c:v>96.188384155741304</c:v>
                      </c:pt>
                      <c:pt idx="648" formatCode="General">
                        <c:v>98.957098422779595</c:v>
                      </c:pt>
                      <c:pt idx="649" formatCode="General">
                        <c:v>101.805508161164</c:v>
                      </c:pt>
                      <c:pt idx="650" formatCode="General">
                        <c:v>104.73590734836699</c:v>
                      </c:pt>
                      <c:pt idx="651" formatCode="General">
                        <c:v>107.750655992369</c:v>
                      </c:pt>
                      <c:pt idx="652" formatCode="General">
                        <c:v>110.852182032304</c:v>
                      </c:pt>
                      <c:pt idx="653" formatCode="General">
                        <c:v>114.042983293807</c:v>
                      </c:pt>
                      <c:pt idx="654" formatCode="General">
                        <c:v>117.325629500646</c:v>
                      </c:pt>
                      <c:pt idx="655" formatCode="General">
                        <c:v>120.70276434426199</c:v>
                      </c:pt>
                      <c:pt idx="656" formatCode="General">
                        <c:v>124.17710761287501</c:v>
                      </c:pt>
                      <c:pt idx="657" formatCode="General">
                        <c:v>127.751457381872</c:v>
                      </c:pt>
                      <c:pt idx="658" formatCode="General">
                        <c:v>131.42869226725301</c:v>
                      </c:pt>
                      <c:pt idx="659" formatCode="General">
                        <c:v>135.21177371331299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MIFT!$F$3:$F$662</c15:sqref>
                        </c15:formulaRef>
                      </c:ext>
                    </c:extLst>
                    <c:numCache>
                      <c:formatCode>0.00E+00</c:formatCode>
                      <c:ptCount val="660"/>
                      <c:pt idx="0">
                        <c:v>4.83223712003958E-7</c:v>
                      </c:pt>
                      <c:pt idx="1">
                        <c:v>9.8035667493802899E-7</c:v>
                      </c:pt>
                      <c:pt idx="2">
                        <c:v>1.49179925669938E-6</c:v>
                      </c:pt>
                      <c:pt idx="3">
                        <c:v>2.0179633494903998E-6</c:v>
                      </c:pt>
                      <c:pt idx="4">
                        <c:v>2.55927270153762E-6</c:v>
                      </c:pt>
                      <c:pt idx="5">
                        <c:v>3.1161632583589601E-6</c:v>
                      </c:pt>
                      <c:pt idx="6">
                        <c:v>3.6890835138540601E-6</c:v>
                      </c:pt>
                      <c:pt idx="7">
                        <c:v>4.2784948715005401E-6</c:v>
                      </c:pt>
                      <c:pt idx="8">
                        <c:v>4.8848720159470102E-6</c:v>
                      </c:pt>
                      <c:pt idx="9">
                        <c:v>5.5087032953021698E-6</c:v>
                      </c:pt>
                      <c:pt idx="10">
                        <c:v>6.15049111442773E-6</c:v>
                      </c:pt>
                      <c:pt idx="11">
                        <c:v>6.81075233955213E-6</c:v>
                      </c:pt>
                      <c:pt idx="12">
                        <c:v>7.4900187145305901E-6</c:v>
                      </c:pt>
                      <c:pt idx="13">
                        <c:v>8.1888372890871507E-6</c:v>
                      </c:pt>
                      <c:pt idx="14">
                        <c:v>8.9077708593830799E-6</c:v>
                      </c:pt>
                      <c:pt idx="15">
                        <c:v>9.6473984212670198E-6</c:v>
                      </c:pt>
                      <c:pt idx="16">
                        <c:v>1.04083156365713E-5</c:v>
                      </c:pt>
                      <c:pt idx="17">
                        <c:v>1.11911353128306E-5</c:v>
                      </c:pt>
                      <c:pt idx="18">
                        <c:v>1.19964878968087E-5</c:v>
                      </c:pt>
                      <c:pt idx="19">
                        <c:v>1.2825021982231201E-5</c:v>
                      </c:pt>
                      <c:pt idx="20">
                        <c:v>1.3677404832132801E-5</c:v>
                      </c:pt>
                      <c:pt idx="21">
                        <c:v>1.45543229162402E-5</c:v>
                      </c:pt>
                      <c:pt idx="22">
                        <c:v>1.54564824638229E-5</c:v>
                      </c:pt>
                      <c:pt idx="23">
                        <c:v>1.6384610032458099E-5</c:v>
                      </c:pt>
                      <c:pt idx="24">
                        <c:v>1.7339453093165801E-5</c:v>
                      </c:pt>
                      <c:pt idx="25">
                        <c:v>1.83217806323879E-5</c:v>
                      </c:pt>
                      <c:pt idx="26">
                        <c:v>1.93323837712944E-5</c:v>
                      </c:pt>
                      <c:pt idx="27">
                        <c:v>2.0372076402915401E-5</c:v>
                      </c:pt>
                      <c:pt idx="28">
                        <c:v>2.14416958476132E-5</c:v>
                      </c:pt>
                      <c:pt idx="29">
                        <c:v>2.2542103527421199E-5</c:v>
                      </c:pt>
                      <c:pt idx="30">
                        <c:v>2.36741856597936E-5</c:v>
                      </c:pt>
                      <c:pt idx="31">
                        <c:v>2.4838853971323901E-5</c:v>
                      </c:pt>
                      <c:pt idx="32">
                        <c:v>2.6037046432007001E-5</c:v>
                      </c:pt>
                      <c:pt idx="33">
                        <c:v>2.72697280106374E-5</c:v>
                      </c:pt>
                      <c:pt idx="34">
                        <c:v>2.853789145195E-5</c:v>
                      </c:pt>
                      <c:pt idx="35">
                        <c:v>2.9842558076130901E-5</c:v>
                      </c:pt>
                      <c:pt idx="36">
                        <c:v>3.1184778601341601E-5</c:v>
                      </c:pt>
                      <c:pt idx="37">
                        <c:v>3.2565633989918897E-5</c:v>
                      </c:pt>
                      <c:pt idx="38">
                        <c:v>3.39862363189314E-5</c:v>
                      </c:pt>
                      <c:pt idx="39">
                        <c:v>3.5447729675795502E-5</c:v>
                      </c:pt>
                      <c:pt idx="40">
                        <c:v>3.6951291079670403E-5</c:v>
                      </c:pt>
                      <c:pt idx="41">
                        <c:v>3.8498131429374799E-5</c:v>
                      </c:pt>
                      <c:pt idx="42">
                        <c:v>4.0089496478588799E-5</c:v>
                      </c:pt>
                      <c:pt idx="43">
                        <c:v>4.1726667839126197E-5</c:v>
                      </c:pt>
                      <c:pt idx="44">
                        <c:v>4.3410964013085598E-5</c:v>
                      </c:pt>
                      <c:pt idx="45">
                        <c:v>4.5143741454711103E-5</c:v>
                      </c:pt>
                      <c:pt idx="46">
                        <c:v>4.6926395662817401E-5</c:v>
                      </c:pt>
                      <c:pt idx="47">
                        <c:v>4.87603623046603E-5</c:v>
                      </c:pt>
                      <c:pt idx="48">
                        <c:v>5.06471183721567E-5</c:v>
                      </c:pt>
                      <c:pt idx="49">
                        <c:v>5.25881833713856E-5</c:v>
                      </c:pt>
                      <c:pt idx="50">
                        <c:v>5.4585120546327803E-5</c:v>
                      </c:pt>
                      <c:pt idx="51">
                        <c:v>5.66395381378306E-5</c:v>
                      </c:pt>
                      <c:pt idx="52">
                        <c:v>5.8753090678810399E-5</c:v>
                      </c:pt>
                      <c:pt idx="53">
                        <c:v>6.0927480326737201E-5</c:v>
                      </c:pt>
                      <c:pt idx="54">
                        <c:v>6.3164458234472997E-5</c:v>
                      </c:pt>
                      <c:pt idx="55">
                        <c:v>6.5465825960570295E-5</c:v>
                      </c:pt>
                      <c:pt idx="56">
                        <c:v>6.7833436920162796E-5</c:v>
                      </c:pt>
                      <c:pt idx="57">
                        <c:v>7.0269197877621299E-5</c:v>
                      </c:pt>
                      <c:pt idx="58">
                        <c:v>7.2775070482172894E-5</c:v>
                      </c:pt>
                      <c:pt idx="59">
                        <c:v>7.5353072847722898E-5</c:v>
                      </c:pt>
                      <c:pt idx="60">
                        <c:v>7.8005281178150299E-5</c:v>
                      </c:pt>
                      <c:pt idx="61">
                        <c:v>8.0733831439386199E-5</c:v>
                      </c:pt>
                      <c:pt idx="62">
                        <c:v>8.3540921079622204E-5</c:v>
                      </c:pt>
                      <c:pt idx="63">
                        <c:v>8.6428810799033795E-5</c:v>
                      </c:pt>
                      <c:pt idx="64">
                        <c:v>8.9399826370442902E-5</c:v>
                      </c:pt>
                      <c:pt idx="65">
                        <c:v>9.2456360512388697E-5</c:v>
                      </c:pt>
                      <c:pt idx="66">
                        <c:v>9.5600874816111905E-5</c:v>
                      </c:pt>
                      <c:pt idx="67">
                        <c:v>9.8835901728006701E-5</c:v>
                      </c:pt>
                      <c:pt idx="68" formatCode="General">
                        <c:v>1.02164046589135E-4</c:v>
                      </c:pt>
                      <c:pt idx="69" formatCode="General">
                        <c:v>1.05587989733451E-4</c:v>
                      </c:pt>
                      <c:pt idx="70" formatCode="General">
                        <c:v>1.09110488646414E-4</c:v>
                      </c:pt>
                      <c:pt idx="71" formatCode="General">
                        <c:v>1.1273438018573999E-4</c:v>
                      </c:pt>
                      <c:pt idx="72" formatCode="General">
                        <c:v>1.16462582866081E-4</c:v>
                      </c:pt>
                      <c:pt idx="73" formatCode="General">
                        <c:v>1.20298099209453E-4</c:v>
                      </c:pt>
                      <c:pt idx="74" formatCode="General">
                        <c:v>1.2424401816333699E-4</c:v>
                      </c:pt>
                      <c:pt idx="75" formatCode="General">
                        <c:v>1.2830351758837E-4</c:v>
                      </c:pt>
                      <c:pt idx="76" formatCode="General">
                        <c:v>1.32479866817646E-4</c:v>
                      </c:pt>
                      <c:pt idx="77" formatCode="General">
                        <c:v>1.6539213457056299E-4</c:v>
                      </c:pt>
                      <c:pt idx="78" formatCode="General">
                        <c:v>2.0561353243708701E-4</c:v>
                      </c:pt>
                      <c:pt idx="79" formatCode="General">
                        <c:v>2.5390304524286402E-4</c:v>
                      </c:pt>
                      <c:pt idx="80" formatCode="General">
                        <c:v>3.11515002628937E-4</c:v>
                      </c:pt>
                      <c:pt idx="81" formatCode="General">
                        <c:v>3.7983474353264697E-4</c:v>
                      </c:pt>
                      <c:pt idx="82" formatCode="General">
                        <c:v>4.6038331825770602E-4</c:v>
                      </c:pt>
                      <c:pt idx="83" formatCode="General">
                        <c:v>5.5482133539763701E-4</c:v>
                      </c:pt>
                      <c:pt idx="84" formatCode="General">
                        <c:v>6.6495187535009395E-4</c:v>
                      </c:pt>
                      <c:pt idx="85" formatCode="General">
                        <c:v>7.9272240551264597E-4</c:v>
                      </c:pt>
                      <c:pt idx="86" formatCode="General">
                        <c:v>9.4022564631668305E-4</c:v>
                      </c:pt>
                      <c:pt idx="87" formatCode="General">
                        <c:v>1.10969935241089E-3</c:v>
                      </c:pt>
                      <c:pt idx="88" formatCode="General">
                        <c:v>1.30352498845809E-3</c:v>
                      </c:pt>
                      <c:pt idx="89" formatCode="General">
                        <c:v>1.52422529436746E-3</c:v>
                      </c:pt>
                      <c:pt idx="90" formatCode="General">
                        <c:v>1.7744607497409599E-3</c:v>
                      </c:pt>
                      <c:pt idx="91" formatCode="General">
                        <c:v>2.0570249616988999E-3</c:v>
                      </c:pt>
                      <c:pt idx="92" formatCode="General">
                        <c:v>2.3748390137356898E-3</c:v>
                      </c:pt>
                      <c:pt idx="93" formatCode="General">
                        <c:v>2.7309448257353199E-3</c:v>
                      </c:pt>
                      <c:pt idx="94" formatCode="General">
                        <c:v>3.1284975864034302E-3</c:v>
                      </c:pt>
                      <c:pt idx="95" formatCode="General">
                        <c:v>3.5707573292464898E-3</c:v>
                      </c:pt>
                      <c:pt idx="96" formatCode="General">
                        <c:v>4.0610797315088201E-3</c:v>
                      </c:pt>
                      <c:pt idx="97" formatCode="General">
                        <c:v>4.6029062222783202E-3</c:v>
                      </c:pt>
                      <c:pt idx="98" formatCode="General">
                        <c:v>5.1997534912622198E-3</c:v>
                      </c:pt>
                      <c:pt idx="99" formatCode="General">
                        <c:v>5.8552025134399601E-3</c:v>
                      </c:pt>
                      <c:pt idx="100" formatCode="General">
                        <c:v>6.5728871682275702E-3</c:v>
                      </c:pt>
                      <c:pt idx="101" formatCode="General">
                        <c:v>7.3564824954661604E-3</c:v>
                      </c:pt>
                      <c:pt idx="102" formatCode="General">
                        <c:v>8.2096927871853007E-3</c:v>
                      </c:pt>
                      <c:pt idx="103" formatCode="General">
                        <c:v>9.1362395675451593E-3</c:v>
                      </c:pt>
                      <c:pt idx="104" formatCode="General">
                        <c:v>1.01398495498825E-2</c:v>
                      </c:pt>
                      <c:pt idx="105" formatCode="General">
                        <c:v>1.1224242685005501E-2</c:v>
                      </c:pt>
                      <c:pt idx="106" formatCode="General">
                        <c:v>1.2393120263185E-2</c:v>
                      </c:pt>
                      <c:pt idx="107" formatCode="General">
                        <c:v>1.3650153427248599E-2</c:v>
                      </c:pt>
                      <c:pt idx="108" formatCode="General">
                        <c:v>1.4998971840147301E-2</c:v>
                      </c:pt>
                      <c:pt idx="109" formatCode="General">
                        <c:v>1.6443152737290499E-2</c:v>
                      </c:pt>
                      <c:pt idx="110" formatCode="General">
                        <c:v>1.7986210660383101E-2</c:v>
                      </c:pt>
                      <c:pt idx="111" formatCode="General">
                        <c:v>1.9631587114900199E-2</c:v>
                      </c:pt>
                      <c:pt idx="112" formatCode="General">
                        <c:v>2.1382641660783401E-2</c:v>
                      </c:pt>
                      <c:pt idx="113" formatCode="General">
                        <c:v>2.3242642380265102E-2</c:v>
                      </c:pt>
                      <c:pt idx="114" formatCode="General">
                        <c:v>2.5214758381849799E-2</c:v>
                      </c:pt>
                      <c:pt idx="115" formatCode="General">
                        <c:v>2.7302051473605701E-2</c:v>
                      </c:pt>
                      <c:pt idx="116" formatCode="General">
                        <c:v>2.9507469693012201E-2</c:v>
                      </c:pt>
                      <c:pt idx="117" formatCode="General">
                        <c:v>3.1833840915139897E-2</c:v>
                      </c:pt>
                      <c:pt idx="118" formatCode="General">
                        <c:v>3.42838668423954E-2</c:v>
                      </c:pt>
                      <c:pt idx="119" formatCode="General">
                        <c:v>3.6860119031717202E-2</c:v>
                      </c:pt>
                      <c:pt idx="120" formatCode="General">
                        <c:v>3.9565033298685201E-2</c:v>
                      </c:pt>
                      <c:pt idx="121" formatCode="General">
                        <c:v>4.2400907036501199E-2</c:v>
                      </c:pt>
                      <c:pt idx="122" formatCode="General">
                        <c:v>4.5369896709143799E-2</c:v>
                      </c:pt>
                      <c:pt idx="123" formatCode="General">
                        <c:v>4.8474013703960497E-2</c:v>
                      </c:pt>
                      <c:pt idx="124" formatCode="General">
                        <c:v>5.1715124267876098E-2</c:v>
                      </c:pt>
                      <c:pt idx="125" formatCode="General">
                        <c:v>5.5094948601752403E-2</c:v>
                      </c:pt>
                      <c:pt idx="126" formatCode="General">
                        <c:v>5.8615058848727301E-2</c:v>
                      </c:pt>
                      <c:pt idx="127" formatCode="General">
                        <c:v>6.2276880038429398E-2</c:v>
                      </c:pt>
                      <c:pt idx="128" formatCode="General">
                        <c:v>6.6081690458704198E-2</c:v>
                      </c:pt>
                      <c:pt idx="129" formatCode="General">
                        <c:v>7.0030623745130693E-2</c:v>
                      </c:pt>
                      <c:pt idx="130" formatCode="General">
                        <c:v>7.4124667327152505E-2</c:v>
                      </c:pt>
                      <c:pt idx="131" formatCode="General">
                        <c:v>7.8364667136347793E-2</c:v>
                      </c:pt>
                      <c:pt idx="132" formatCode="General">
                        <c:v>8.2751329019438102E-2</c:v>
                      </c:pt>
                      <c:pt idx="133" formatCode="General">
                        <c:v>8.7285221980385602E-2</c:v>
                      </c:pt>
                      <c:pt idx="134" formatCode="General">
                        <c:v>9.1966779078333602E-2</c:v>
                      </c:pt>
                      <c:pt idx="135" formatCode="General">
                        <c:v>9.6796301750271693E-2</c:v>
                      </c:pt>
                      <c:pt idx="136" formatCode="General">
                        <c:v>0.101773963692439</c:v>
                      </c:pt>
                      <c:pt idx="137" formatCode="General">
                        <c:v>0.106899814331388</c:v>
                      </c:pt>
                      <c:pt idx="138" formatCode="General">
                        <c:v>0.112173783825385</c:v>
                      </c:pt>
                      <c:pt idx="139" formatCode="General">
                        <c:v>0.11759568358975001</c:v>
                      </c:pt>
                      <c:pt idx="140" formatCode="General">
                        <c:v>0.123165213501018</c:v>
                      </c:pt>
                      <c:pt idx="141" formatCode="General">
                        <c:v>0.12888196512432501</c:v>
                      </c:pt>
                      <c:pt idx="142" formatCode="General">
                        <c:v>0.13474542622771701</c:v>
                      </c:pt>
                      <c:pt idx="143" formatCode="General">
                        <c:v>0.140754985252941</c:v>
                      </c:pt>
                      <c:pt idx="144" formatCode="General">
                        <c:v>0.14690993776484301</c:v>
                      </c:pt>
                      <c:pt idx="145" formatCode="General">
                        <c:v>0.15320948563550699</c:v>
                      </c:pt>
                      <c:pt idx="146" formatCode="General">
                        <c:v>0.159652745576921</c:v>
                      </c:pt>
                      <c:pt idx="147" formatCode="General">
                        <c:v>0.16623875268958399</c:v>
                      </c:pt>
                      <c:pt idx="148" formatCode="General">
                        <c:v>0.17296646513278399</c:v>
                      </c:pt>
                      <c:pt idx="149" formatCode="General">
                        <c:v>0.17983476762233699</c:v>
                      </c:pt>
                      <c:pt idx="150" formatCode="General">
                        <c:v>0.18684247643412499</c:v>
                      </c:pt>
                      <c:pt idx="151" formatCode="General">
                        <c:v>0.19398834481424701</c:v>
                      </c:pt>
                      <c:pt idx="152" formatCode="General">
                        <c:v>0.201271064356568</c:v>
                      </c:pt>
                      <c:pt idx="153" formatCode="General">
                        <c:v>0.20868926949184999</c:v>
                      </c:pt>
                      <c:pt idx="154" formatCode="General">
                        <c:v>0.216241542916215</c:v>
                      </c:pt>
                      <c:pt idx="155" formatCode="General">
                        <c:v>0.22392641835141999</c:v>
                      </c:pt>
                      <c:pt idx="156" formatCode="General">
                        <c:v>0.23174238456858501</c:v>
                      </c:pt>
                      <c:pt idx="157" formatCode="General">
                        <c:v>0.23968788910517499</c:v>
                      </c:pt>
                      <c:pt idx="158" formatCode="General">
                        <c:v>0.24776134141613801</c:v>
                      </c:pt>
                      <c:pt idx="159" formatCode="General">
                        <c:v>0.25596111646042302</c:v>
                      </c:pt>
                      <c:pt idx="160" formatCode="General">
                        <c:v>0.26428555778455198</c:v>
                      </c:pt>
                      <c:pt idx="161" formatCode="General">
                        <c:v>0.272732982467841</c:v>
                      </c:pt>
                      <c:pt idx="162" formatCode="General">
                        <c:v>0.28130167840578402</c:v>
                      </c:pt>
                      <c:pt idx="163" formatCode="General">
                        <c:v>0.28998991240698802</c:v>
                      </c:pt>
                      <c:pt idx="164" formatCode="General">
                        <c:v>0.29879593125431703</c:v>
                      </c:pt>
                      <c:pt idx="165" formatCode="General">
                        <c:v>0.30771796461742501</c:v>
                      </c:pt>
                      <c:pt idx="166" formatCode="General">
                        <c:v>0.31675422746208298</c:v>
                      </c:pt>
                      <c:pt idx="167" formatCode="General">
                        <c:v>0.32590292199732401</c:v>
                      </c:pt>
                      <c:pt idx="168" formatCode="General">
                        <c:v>0.33516224025441999</c:v>
                      </c:pt>
                      <c:pt idx="169" formatCode="General">
                        <c:v>0.34453036618583299</c:v>
                      </c:pt>
                      <c:pt idx="170" formatCode="General">
                        <c:v>0.35400547777331798</c:v>
                      </c:pt>
                      <c:pt idx="171" formatCode="General">
                        <c:v>0.36358574877837901</c:v>
                      </c:pt>
                      <c:pt idx="172" formatCode="General">
                        <c:v>0.37326935084887303</c:v>
                      </c:pt>
                      <c:pt idx="173" formatCode="General">
                        <c:v>0.383054455322967</c:v>
                      </c:pt>
                      <c:pt idx="174" formatCode="General">
                        <c:v>0.39293923492012101</c:v>
                      </c:pt>
                      <c:pt idx="175" formatCode="General">
                        <c:v>0.40292186717455403</c:v>
                      </c:pt>
                      <c:pt idx="176" formatCode="General">
                        <c:v>0.413000530022123</c:v>
                      </c:pt>
                      <c:pt idx="177" formatCode="General">
                        <c:v>0.42317340906788398</c:v>
                      </c:pt>
                      <c:pt idx="178" formatCode="General">
                        <c:v>0.43343869739093499</c:v>
                      </c:pt>
                      <c:pt idx="179" formatCode="General">
                        <c:v>0.44379459672873001</c:v>
                      </c:pt>
                      <c:pt idx="180" formatCode="General">
                        <c:v>0.454239318529021</c:v>
                      </c:pt>
                      <c:pt idx="181" formatCode="General">
                        <c:v>0.46477108550915702</c:v>
                      </c:pt>
                      <c:pt idx="182" formatCode="General">
                        <c:v>0.47538813259065898</c:v>
                      </c:pt>
                      <c:pt idx="183" formatCode="General">
                        <c:v>0.48608870811276</c:v>
                      </c:pt>
                      <c:pt idx="184" formatCode="General">
                        <c:v>0.49687107444696299</c:v>
                      </c:pt>
                      <c:pt idx="185" formatCode="General">
                        <c:v>0.50773350966609399</c:v>
                      </c:pt>
                      <c:pt idx="186" formatCode="General">
                        <c:v>0.51867430803178804</c:v>
                      </c:pt>
                      <c:pt idx="187" formatCode="General">
                        <c:v>0.52969178065114697</c:v>
                      </c:pt>
                      <c:pt idx="188" formatCode="General">
                        <c:v>0.540784256560356</c:v>
                      </c:pt>
                      <c:pt idx="189" formatCode="General">
                        <c:v>0.551950083453144</c:v>
                      </c:pt>
                      <c:pt idx="190" formatCode="General">
                        <c:v>0.563187628435601</c:v>
                      </c:pt>
                      <c:pt idx="191" formatCode="General">
                        <c:v>0.57449527861324601</c:v>
                      </c:pt>
                      <c:pt idx="192" formatCode="General">
                        <c:v>0.58587144168781702</c:v>
                      </c:pt>
                      <c:pt idx="193" formatCode="General">
                        <c:v>0.597314546502548</c:v>
                      </c:pt>
                      <c:pt idx="194" formatCode="General">
                        <c:v>0.60882304353594696</c:v>
                      </c:pt>
                      <c:pt idx="195" formatCode="General">
                        <c:v>0.62039540526279702</c:v>
                      </c:pt>
                      <c:pt idx="196" formatCode="General">
                        <c:v>0.63203012664603297</c:v>
                      </c:pt>
                      <c:pt idx="197" formatCode="General">
                        <c:v>0.64372572568153597</c:v>
                      </c:pt>
                      <c:pt idx="198" formatCode="General">
                        <c:v>0.65548074366185405</c:v>
                      </c:pt>
                      <c:pt idx="199" formatCode="General">
                        <c:v>0.66729374626632898</c:v>
                      </c:pt>
                      <c:pt idx="200" formatCode="General">
                        <c:v>0.67916332019183701</c:v>
                      </c:pt>
                      <c:pt idx="201" formatCode="General">
                        <c:v>0.69108807682046902</c:v>
                      </c:pt>
                      <c:pt idx="202" formatCode="General">
                        <c:v>0.70306665147206804</c:v>
                      </c:pt>
                      <c:pt idx="203" formatCode="General">
                        <c:v>0.71509770398829997</c:v>
                      </c:pt>
                      <c:pt idx="204" formatCode="General">
                        <c:v>0.72717991789105596</c:v>
                      </c:pt>
                      <c:pt idx="205" formatCode="General">
                        <c:v>0.73931200036372002</c:v>
                      </c:pt>
                      <c:pt idx="206" formatCode="General">
                        <c:v>0.75149268274049097</c:v>
                      </c:pt>
                      <c:pt idx="207" formatCode="General">
                        <c:v>0.76372072002010005</c:v>
                      </c:pt>
                      <c:pt idx="208" formatCode="General">
                        <c:v>0.77599489141997902</c:v>
                      </c:pt>
                      <c:pt idx="209" formatCode="General">
                        <c:v>0.788313999653524</c:v>
                      </c:pt>
                      <c:pt idx="210" formatCode="General">
                        <c:v>0.80067687081494698</c:v>
                      </c:pt>
                      <c:pt idx="211" formatCode="General">
                        <c:v>0.81308235439644305</c:v>
                      </c:pt>
                      <c:pt idx="212" formatCode="General">
                        <c:v>0.82552932278701896</c:v>
                      </c:pt>
                      <c:pt idx="213" formatCode="General">
                        <c:v>0.83801667132728097</c:v>
                      </c:pt>
                      <c:pt idx="214" formatCode="General">
                        <c:v>0.85054331798260896</c:v>
                      </c:pt>
                      <c:pt idx="215" formatCode="General">
                        <c:v>0.86310820307849001</c:v>
                      </c:pt>
                      <c:pt idx="216" formatCode="General">
                        <c:v>0.87571028902384596</c:v>
                      </c:pt>
                      <c:pt idx="217" formatCode="General">
                        <c:v>0.88834856002026796</c:v>
                      </c:pt>
                      <c:pt idx="218" formatCode="General">
                        <c:v>0.90102202163415401</c:v>
                      </c:pt>
                      <c:pt idx="219" formatCode="General">
                        <c:v>0.91372970074491999</c:v>
                      </c:pt>
                      <c:pt idx="220" formatCode="General">
                        <c:v>0.92647064519116895</c:v>
                      </c:pt>
                      <c:pt idx="221" formatCode="General">
                        <c:v>0.93924392309425297</c:v>
                      </c:pt>
                      <c:pt idx="222" formatCode="General">
                        <c:v>0.952048623023801</c:v>
                      </c:pt>
                      <c:pt idx="223" formatCode="General">
                        <c:v>0.96488385331538096</c:v>
                      </c:pt>
                      <c:pt idx="224" formatCode="General">
                        <c:v>0.97774874180744298</c:v>
                      </c:pt>
                      <c:pt idx="225" formatCode="General">
                        <c:v>0.99064243546458397</c:v>
                      </c:pt>
                      <c:pt idx="226" formatCode="General">
                        <c:v>1.00356410011604</c:v>
                      </c:pt>
                      <c:pt idx="227" formatCode="General">
                        <c:v>1.01651291992008</c:v>
                      </c:pt>
                      <c:pt idx="228" formatCode="General">
                        <c:v>1.02948809714583</c:v>
                      </c:pt>
                      <c:pt idx="229" formatCode="General">
                        <c:v>1.0424888519691999</c:v>
                      </c:pt>
                      <c:pt idx="230" formatCode="General">
                        <c:v>1.05551442197269</c:v>
                      </c:pt>
                      <c:pt idx="231" formatCode="General">
                        <c:v>1.0685640617577501</c:v>
                      </c:pt>
                      <c:pt idx="232" formatCode="General">
                        <c:v>1.08163704264217</c:v>
                      </c:pt>
                      <c:pt idx="233" formatCode="General">
                        <c:v>1.0947326523168499</c:v>
                      </c:pt>
                      <c:pt idx="234" formatCode="General">
                        <c:v>1.10785019450508</c:v>
                      </c:pt>
                      <c:pt idx="235" formatCode="General">
                        <c:v>1.1209889886254401</c:v>
                      </c:pt>
                      <c:pt idx="236" formatCode="General">
                        <c:v>1.1341483694586101</c:v>
                      </c:pt>
                      <c:pt idx="237" formatCode="General">
                        <c:v>1.1473276868196201</c:v>
                      </c:pt>
                      <c:pt idx="238" formatCode="General">
                        <c:v>1.1605263052363799</c:v>
                      </c:pt>
                      <c:pt idx="239" formatCode="General">
                        <c:v>1.17374360363549</c:v>
                      </c:pt>
                      <c:pt idx="240" formatCode="General">
                        <c:v>1.1869789750372</c:v>
                      </c:pt>
                      <c:pt idx="241" formatCode="General">
                        <c:v>1.2002318261912499</c:v>
                      </c:pt>
                      <c:pt idx="242" formatCode="General">
                        <c:v>1.2135015774795499</c:v>
                      </c:pt>
                      <c:pt idx="243" formatCode="General">
                        <c:v>1.2267876624785301</c:v>
                      </c:pt>
                      <c:pt idx="244" formatCode="General">
                        <c:v>1.2400895278155899</c:v>
                      </c:pt>
                      <c:pt idx="245" formatCode="General">
                        <c:v>1.2534066329250599</c:v>
                      </c:pt>
                      <c:pt idx="246" formatCode="General">
                        <c:v>1.26673844980649</c:v>
                      </c:pt>
                      <c:pt idx="247" formatCode="General">
                        <c:v>1.2800844629136601</c:v>
                      </c:pt>
                      <c:pt idx="248" formatCode="General">
                        <c:v>1.2934441690496901</c:v>
                      </c:pt>
                      <c:pt idx="249" formatCode="General">
                        <c:v>1.3068170773154699</c:v>
                      </c:pt>
                      <c:pt idx="250" formatCode="General">
                        <c:v>1.3202027091423201</c:v>
                      </c:pt>
                      <c:pt idx="251" formatCode="General">
                        <c:v>1.33360059831432</c:v>
                      </c:pt>
                      <c:pt idx="252" formatCode="General">
                        <c:v>1.34701029121293</c:v>
                      </c:pt>
                      <c:pt idx="253" formatCode="General">
                        <c:v>1.36043134707925</c:v>
                      </c:pt>
                      <c:pt idx="254" formatCode="General">
                        <c:v>1.3738633384024901</c:v>
                      </c:pt>
                      <c:pt idx="255" formatCode="General">
                        <c:v>1.38730585144092</c:v>
                      </c:pt>
                      <c:pt idx="256" formatCode="General">
                        <c:v>1.4007584868385601</c:v>
                      </c:pt>
                      <c:pt idx="257" formatCode="General">
                        <c:v>1.41422086066439</c:v>
                      </c:pt>
                      <c:pt idx="258" formatCode="General">
                        <c:v>1.42769260519733</c:v>
                      </c:pt>
                      <c:pt idx="259" formatCode="General">
                        <c:v>1.4411733702093199</c:v>
                      </c:pt>
                      <c:pt idx="260" formatCode="General">
                        <c:v>1.4546628243698101</c:v>
                      </c:pt>
                      <c:pt idx="261" formatCode="General">
                        <c:v>1.46816065686347</c:v>
                      </c:pt>
                      <c:pt idx="262" formatCode="General">
                        <c:v>1.4816665792299</c:v>
                      </c:pt>
                      <c:pt idx="263" formatCode="General">
                        <c:v>1.4951803274307001</c:v>
                      </c:pt>
                      <c:pt idx="264" formatCode="General">
                        <c:v>1.5087016641457001</c:v>
                      </c:pt>
                      <c:pt idx="265" formatCode="General">
                        <c:v>1.5222303812971201</c:v>
                      </c:pt>
                      <c:pt idx="266" formatCode="General">
                        <c:v>1.53576630279654</c:v>
                      </c:pt>
                      <c:pt idx="267" formatCode="General">
                        <c:v>1.54930928750513</c:v>
                      </c:pt>
                      <c:pt idx="268" formatCode="General">
                        <c:v>1.56285923239407</c:v>
                      </c:pt>
                      <c:pt idx="269" formatCode="General">
                        <c:v>1.57641607588794</c:v>
                      </c:pt>
                      <c:pt idx="270" formatCode="General">
                        <c:v>1.5899798013703501</c:v>
                      </c:pt>
                      <c:pt idx="271" formatCode="General">
                        <c:v>1.6035504408277399</c:v>
                      </c:pt>
                      <c:pt idx="272" formatCode="General">
                        <c:v>1.6171280786048099</c:v>
                      </c:pt>
                      <c:pt idx="273" formatCode="General">
                        <c:v>1.63071285524265</c:v>
                      </c:pt>
                      <c:pt idx="274" formatCode="General">
                        <c:v>1.64430497136918</c:v>
                      </c:pt>
                      <c:pt idx="275" formatCode="General">
                        <c:v>1.6579046915998299</c:v>
                      </c:pt>
                      <c:pt idx="276" formatCode="General">
                        <c:v>1.6715123484736401</c:v>
                      </c:pt>
                      <c:pt idx="277" formatCode="General">
                        <c:v>1.6851283462859199</c:v>
                      </c:pt>
                      <c:pt idx="278" formatCode="General">
                        <c:v>1.6987531648888801</c:v>
                      </c:pt>
                      <c:pt idx="279" formatCode="General">
                        <c:v>1.7123873633992599</c:v>
                      </c:pt>
                      <c:pt idx="280" formatCode="General">
                        <c:v>1.72603158378615</c:v>
                      </c:pt>
                      <c:pt idx="281" formatCode="General">
                        <c:v>1.73968655432492</c:v>
                      </c:pt>
                      <c:pt idx="282" formatCode="General">
                        <c:v>1.75335309290208</c:v>
                      </c:pt>
                      <c:pt idx="283" formatCode="General">
                        <c:v>1.7670321101604001</c:v>
                      </c:pt>
                      <c:pt idx="284" formatCode="General">
                        <c:v>1.78072461247759</c:v>
                      </c:pt>
                      <c:pt idx="285" formatCode="General">
                        <c:v>1.7944317047759699</c:v>
                      </c:pt>
                      <c:pt idx="286" formatCode="General">
                        <c:v>1.8081545931640199</c:v>
                      </c:pt>
                      <c:pt idx="287" formatCode="General">
                        <c:v>1.82189458741378</c:v>
                      </c:pt>
                      <c:pt idx="288" formatCode="General">
                        <c:v>1.83565310328068</c:v>
                      </c:pt>
                      <c:pt idx="289" formatCode="General">
                        <c:v>1.8494316646736599</c:v>
                      </c:pt>
                      <c:pt idx="290" formatCode="General">
                        <c:v>1.86323190568441</c:v>
                      </c:pt>
                      <c:pt idx="291" formatCode="General">
                        <c:v>1.8770555724842299</c:v>
                      </c:pt>
                      <c:pt idx="292" formatCode="General">
                        <c:v>1.8909045250955301</c:v>
                      </c:pt>
                      <c:pt idx="293" formatCode="General">
                        <c:v>1.90478073904333</c:v>
                      </c:pt>
                      <c:pt idx="294" formatCode="General">
                        <c:v>1.91868630688883</c:v>
                      </c:pt>
                      <c:pt idx="295" formatCode="General">
                        <c:v>1.9326234396432</c:v>
                      </c:pt>
                      <c:pt idx="296" formatCode="General">
                        <c:v>1.94659446805581</c:v>
                      </c:pt>
                      <c:pt idx="297" formatCode="General">
                        <c:v>1.9606018437658901</c:v>
                      </c:pt>
                      <c:pt idx="298" formatCode="General">
                        <c:v>1.9746481403018801</c:v>
                      </c:pt>
                      <c:pt idx="299" formatCode="General">
                        <c:v>1.98873605390756</c:v>
                      </c:pt>
                      <c:pt idx="300" formatCode="General">
                        <c:v>2.0028684041692402</c:v>
                      </c:pt>
                      <c:pt idx="301" formatCode="General">
                        <c:v>2.0170481344142499</c:v>
                      </c:pt>
                      <c:pt idx="302" formatCode="General">
                        <c:v>2.0312783118469402</c:v>
                      </c:pt>
                      <c:pt idx="303" formatCode="General">
                        <c:v>2.0455621273862201</c:v>
                      </c:pt>
                      <c:pt idx="304" formatCode="General">
                        <c:v>2.0599028951671201</c:v>
                      </c:pt>
                      <c:pt idx="305" formatCode="General">
                        <c:v>2.0743040516684199</c:v>
                      </c:pt>
                      <c:pt idx="306" formatCode="General">
                        <c:v>2.08876915443033</c:v>
                      </c:pt>
                      <c:pt idx="307" formatCode="General">
                        <c:v>2.1033018803288601</c:v>
                      </c:pt>
                      <c:pt idx="308" formatCode="General">
                        <c:v>2.1179060233785698</c:v>
                      </c:pt>
                      <c:pt idx="309" formatCode="General">
                        <c:v>2.1325854920415699</c:v>
                      </c:pt>
                      <c:pt idx="310" formatCode="General">
                        <c:v>2.14734430602853</c:v>
                      </c:pt>
                      <c:pt idx="311" formatCode="General">
                        <c:v>2.1621865925911301</c:v>
                      </c:pt>
                      <c:pt idx="312" formatCode="General">
                        <c:v>2.1771165823058101</c:v>
                      </c:pt>
                      <c:pt idx="313" formatCode="General">
                        <c:v>2.1921386043762299</c:v>
                      </c:pt>
                      <c:pt idx="314" formatCode="General">
                        <c:v>2.2072570814847201</c:v>
                      </c:pt>
                      <c:pt idx="315" formatCode="General">
                        <c:v>2.22247652423974</c:v>
                      </c:pt>
                      <c:pt idx="316" formatCode="General">
                        <c:v>2.2378015252821402</c:v>
                      </c:pt>
                      <c:pt idx="317" formatCode="General">
                        <c:v>2.2532367531264899</c:v>
                      </c:pt>
                      <c:pt idx="318" formatCode="General">
                        <c:v>2.2687869458278902</c:v>
                      </c:pt>
                      <c:pt idx="319" formatCode="General">
                        <c:v>2.2844569045775298</c:v>
                      </c:pt>
                      <c:pt idx="320" formatCode="General">
                        <c:v>2.3002514873419999</c:v>
                      </c:pt>
                      <c:pt idx="321" formatCode="General">
                        <c:v>2.3161756026706701</c:v>
                      </c:pt>
                      <c:pt idx="322" formatCode="General">
                        <c:v>2.33223420380354</c:v>
                      </c:pt>
                      <c:pt idx="323" formatCode="General">
                        <c:v>2.3484322832165501</c:v>
                      </c:pt>
                      <c:pt idx="324" formatCode="General">
                        <c:v>2.36477486774359</c:v>
                      </c:pt>
                      <c:pt idx="325" formatCode="General">
                        <c:v>2.38126701441379</c:v>
                      </c:pt>
                      <c:pt idx="326" formatCode="General">
                        <c:v>2.3979138071386799</c:v>
                      </c:pt>
                      <c:pt idx="327" formatCode="General">
                        <c:v>2.4147203543766702</c:v>
                      </c:pt>
                      <c:pt idx="328" formatCode="General">
                        <c:v>2.4316917878926398</c:v>
                      </c:pt>
                      <c:pt idx="329" formatCode="General">
                        <c:v>2.4488332627171898</c:v>
                      </c:pt>
                      <c:pt idx="330" formatCode="General">
                        <c:v>2.46614995839525</c:v>
                      </c:pt>
                      <c:pt idx="331" formatCode="General">
                        <c:v>2.4836470815956</c:v>
                      </c:pt>
                      <c:pt idx="332" formatCode="General">
                        <c:v>2.5013298701343998</c:v>
                      </c:pt>
                      <c:pt idx="333" formatCode="General">
                        <c:v>2.5192035984444798</c:v>
                      </c:pt>
                      <c:pt idx="334" formatCode="General">
                        <c:v>2.5372735845013099</c:v>
                      </c:pt>
                      <c:pt idx="335" formatCode="General">
                        <c:v>2.5555451981948698</c:v>
                      </c:pt>
                      <c:pt idx="336" formatCode="General">
                        <c:v>2.5740238711146302</c:v>
                      </c:pt>
                      <c:pt idx="337" formatCode="General">
                        <c:v>2.5927151076950601</c:v>
                      </c:pt>
                      <c:pt idx="338" formatCode="General">
                        <c:v>2.6116244976477501</c:v>
                      </c:pt>
                      <c:pt idx="339" formatCode="General">
                        <c:v>2.6307577295892699</c:v>
                      </c:pt>
                      <c:pt idx="340" formatCode="General">
                        <c:v>2.65012060575557</c:v>
                      </c:pt>
                      <c:pt idx="341" formatCode="General">
                        <c:v>2.6697190576795</c:v>
                      </c:pt>
                      <c:pt idx="342" formatCode="General">
                        <c:v>2.6895591626941702</c:v>
                      </c:pt>
                      <c:pt idx="343" formatCode="General">
                        <c:v>2.7096471611136201</c:v>
                      </c:pt>
                      <c:pt idx="344" formatCode="General">
                        <c:v>2.7299894739329198</c:v>
                      </c:pt>
                      <c:pt idx="345" formatCode="General">
                        <c:v>2.7505927208816301</c:v>
                      </c:pt>
                      <c:pt idx="346" formatCode="General">
                        <c:v>2.7714637386588401</c:v>
                      </c:pt>
                      <c:pt idx="347" formatCode="General">
                        <c:v>2.79260959917353</c:v>
                      </c:pt>
                      <c:pt idx="348" formatCode="General">
                        <c:v>2.8140376276105501</c:v>
                      </c:pt>
                      <c:pt idx="349" formatCode="General">
                        <c:v>2.83575542014129</c:v>
                      </c:pt>
                      <c:pt idx="350" formatCode="General">
                        <c:v>2.85777086109713</c:v>
                      </c:pt>
                      <c:pt idx="351" formatCode="General">
                        <c:v>2.8800921394246601</c:v>
                      </c:pt>
                      <c:pt idx="352" formatCode="General">
                        <c:v>2.9027277642434801</c:v>
                      </c:pt>
                      <c:pt idx="353" formatCode="General">
                        <c:v>2.92568657933022</c:v>
                      </c:pt>
                      <c:pt idx="354" formatCode="General">
                        <c:v>2.9489777763568901</c:v>
                      </c:pt>
                      <c:pt idx="355" formatCode="General">
                        <c:v>2.9726109067172302</c:v>
                      </c:pt>
                      <c:pt idx="356" formatCode="General">
                        <c:v>2.9965958917817801</c:v>
                      </c:pt>
                      <c:pt idx="357" formatCode="General">
                        <c:v>3.02094303143125</c:v>
                      </c:pt>
                      <c:pt idx="358" formatCode="General">
                        <c:v>3.04566301072829</c:v>
                      </c:pt>
                      <c:pt idx="359" formatCode="General">
                        <c:v>3.0707669046002302</c:v>
                      </c:pt>
                      <c:pt idx="360" formatCode="General">
                        <c:v>3.0962661804193101</c:v>
                      </c:pt>
                      <c:pt idx="361" formatCode="General">
                        <c:v>3.1221726983840501</c:v>
                      </c:pt>
                      <c:pt idx="362" formatCode="General">
                        <c:v>3.1484987096228298</c:v>
                      </c:pt>
                      <c:pt idx="363" formatCode="General">
                        <c:v>3.17525685196137</c:v>
                      </c:pt>
                      <c:pt idx="364" formatCode="General">
                        <c:v>3.2024601433176199</c:v>
                      </c:pt>
                      <c:pt idx="365" formatCode="General">
                        <c:v>3.2301219727102901</c:v>
                      </c:pt>
                      <c:pt idx="366" formatCode="General">
                        <c:v>3.2582560888921801</c:v>
                      </c:pt>
                      <c:pt idx="367" formatCode="General">
                        <c:v>3.2868765866437202</c:v>
                      </c:pt>
                      <c:pt idx="368" formatCode="General">
                        <c:v>3.31599789078789</c:v>
                      </c:pt>
                      <c:pt idx="369" formatCode="General">
                        <c:v>3.34563473801225</c:v>
                      </c:pt>
                      <c:pt idx="370" formatCode="General">
                        <c:v>3.3758021566082199</c:v>
                      </c:pt>
                      <c:pt idx="371" formatCode="General">
                        <c:v>3.4065154442604899</c:v>
                      </c:pt>
                      <c:pt idx="372" formatCode="General">
                        <c:v>3.4377901440405698</c:v>
                      </c:pt>
                      <c:pt idx="373" formatCode="General">
                        <c:v>3.46964201877761</c:v>
                      </c:pt>
                      <c:pt idx="374" formatCode="General">
                        <c:v>3.5020870239952302</c:v>
                      </c:pt>
                      <c:pt idx="375" formatCode="General">
                        <c:v>3.53514127961654</c:v>
                      </c:pt>
                      <c:pt idx="376" formatCode="General">
                        <c:v>3.5688210406489702</c:v>
                      </c:pt>
                      <c:pt idx="377" formatCode="General">
                        <c:v>3.60314266706636</c:v>
                      </c:pt>
                      <c:pt idx="378" formatCode="General">
                        <c:v>3.6381225931080201</c:v>
                      </c:pt>
                      <c:pt idx="379" formatCode="General">
                        <c:v>3.6737772962124802</c:v>
                      </c:pt>
                      <c:pt idx="380" formatCode="General">
                        <c:v>3.7101232657981602</c:v>
                      </c:pt>
                      <c:pt idx="381" formatCode="General">
                        <c:v>3.7471769720933699</c:v>
                      </c:pt>
                      <c:pt idx="382" formatCode="General">
                        <c:v>3.7849548351804798</c:v>
                      </c:pt>
                      <c:pt idx="383" formatCode="General">
                        <c:v>3.8234731945572702</c:v>
                      </c:pt>
                      <c:pt idx="384" formatCode="General">
                        <c:v>3.8627482791032399</c:v>
                      </c:pt>
                      <c:pt idx="385" formatCode="General">
                        <c:v>3.90279617785942</c:v>
                      </c:pt>
                      <c:pt idx="386" formatCode="General">
                        <c:v>3.94363281158576</c:v>
                      </c:pt>
                      <c:pt idx="387" formatCode="General">
                        <c:v>3.98527390521319</c:v>
                      </c:pt>
                      <c:pt idx="388" formatCode="General">
                        <c:v>4.0277349612481403</c:v>
                      </c:pt>
                      <c:pt idx="389" formatCode="General">
                        <c:v>4.0710312341621702</c:v>
                      </c:pt>
                      <c:pt idx="390" formatCode="General">
                        <c:v>4.1151777057738901</c:v>
                      </c:pt>
                      <c:pt idx="391" formatCode="General">
                        <c:v>4.1601890616055703</c:v>
                      </c:pt>
                      <c:pt idx="392" formatCode="General">
                        <c:v>4.2060796681740102</c:v>
                      </c:pt>
                      <c:pt idx="393" formatCode="General">
                        <c:v>4.2528635511539497</c:v>
                      </c:pt>
                      <c:pt idx="394" formatCode="General">
                        <c:v>4.3005543743335597</c:v>
                      </c:pt>
                      <c:pt idx="395" formatCode="General">
                        <c:v>4.3491654192665798</c:v>
                      </c:pt>
                      <c:pt idx="396" formatCode="General">
                        <c:v>4.3987095655116404</c:v>
                      </c:pt>
                      <c:pt idx="397" formatCode="General">
                        <c:v>4.4491992713419597</c:v>
                      </c:pt>
                      <c:pt idx="398" formatCode="General">
                        <c:v>4.5006465548012899</c:v>
                      </c:pt>
                      <c:pt idx="399" formatCode="General">
                        <c:v>4.5530629749809002</c:v>
                      </c:pt>
                      <c:pt idx="400" formatCode="General">
                        <c:v>4.6064596133935503</c:v>
                      </c:pt>
                      <c:pt idx="401" formatCode="General">
                        <c:v>4.6608470553246502</c:v>
                      </c:pt>
                      <c:pt idx="402" formatCode="General">
                        <c:v>4.7162353710494296</c:v>
                      </c:pt>
                      <c:pt idx="403" formatCode="General">
                        <c:v>4.7726340968148504</c:v>
                      </c:pt>
                      <c:pt idx="404" formatCode="General">
                        <c:v>4.8300522154983598</c:v>
                      </c:pt>
                      <c:pt idx="405" formatCode="General">
                        <c:v>4.8884981368707203</c:v>
                      </c:pt>
                      <c:pt idx="406" formatCode="General">
                        <c:v>4.9479796774068197</c:v>
                      </c:pt>
                      <c:pt idx="407" formatCode="General">
                        <c:v>5.0085040396058398</c:v>
                      </c:pt>
                      <c:pt idx="408" formatCode="General">
                        <c:v>5.0700777908012302</c:v>
                      </c:pt>
                      <c:pt idx="409" formatCode="General">
                        <c:v>5.1327068414590897</c:v>
                      </c:pt>
                      <c:pt idx="410" formatCode="General">
                        <c:v>5.1963964229825299</c:v>
                      </c:pt>
                      <c:pt idx="411" formatCode="General">
                        <c:v>5.2611510650571098</c:v>
                      </c:pt>
                      <c:pt idx="412" formatCode="General">
                        <c:v>5.3269745725899602</c:v>
                      </c:pt>
                      <c:pt idx="413" formatCode="General">
                        <c:v>5.3938700023105604</c:v>
                      </c:pt>
                      <c:pt idx="414" formatCode="General">
                        <c:v>5.4618396391160102</c:v>
                      </c:pt>
                      <c:pt idx="415" formatCode="General">
                        <c:v>5.5308849722560103</c:v>
                      </c:pt>
                      <c:pt idx="416" formatCode="General">
                        <c:v>5.6010066714640701</c:v>
                      </c:pt>
                      <c:pt idx="417" formatCode="General">
                        <c:v>5.6722045631507303</c:v>
                      </c:pt>
                      <c:pt idx="418" formatCode="General">
                        <c:v>5.7444776067818104</c:v>
                      </c:pt>
                      <c:pt idx="419" formatCode="General">
                        <c:v>5.8178238715703303</c:v>
                      </c:pt>
                      <c:pt idx="420" formatCode="General">
                        <c:v>5.8922405136145901</c:v>
                      </c:pt>
                      <c:pt idx="421" formatCode="General">
                        <c:v>5.9677237536170198</c:v>
                      </c:pt>
                      <c:pt idx="422" formatCode="General">
                        <c:v>6.04426885531855</c:v>
                      </c:pt>
                      <c:pt idx="423" formatCode="General">
                        <c:v>6.1218701047827002</c:v>
                      </c:pt>
                      <c:pt idx="424" formatCode="General">
                        <c:v>6.2005207906609403</c:v>
                      </c:pt>
                      <c:pt idx="425" formatCode="General">
                        <c:v>6.2802131855669199</c:v>
                      </c:pt>
                      <c:pt idx="426" formatCode="General">
                        <c:v>6.36093852868325</c:v>
                      </c:pt>
                      <c:pt idx="427" formatCode="General">
                        <c:v>6.4426870097178801</c:v>
                      </c:pt>
                      <c:pt idx="428" formatCode="General">
                        <c:v>6.5254477543213003</c:v>
                      </c:pt>
                      <c:pt idx="429" formatCode="General">
                        <c:v>6.6092088110682701</c:v>
                      </c:pt>
                      <c:pt idx="430" formatCode="General">
                        <c:v>6.6939571401000002</c:v>
                      </c:pt>
                      <c:pt idx="431" formatCode="General">
                        <c:v>6.7796786035149301</c:v>
                      </c:pt>
                      <c:pt idx="432" formatCode="General">
                        <c:v>6.8663579575870202</c:v>
                      </c:pt>
                      <c:pt idx="433" formatCode="General">
                        <c:v>6.9539788468829498</c:v>
                      </c:pt>
                      <c:pt idx="434" formatCode="General">
                        <c:v>7.0425238003398096</c:v>
                      </c:pt>
                      <c:pt idx="435" formatCode="General">
                        <c:v>7.1319742293571</c:v>
                      </c:pt>
                      <c:pt idx="436" formatCode="General">
                        <c:v>7.2223104279480896</c:v>
                      </c:pt>
                      <c:pt idx="437" formatCode="General">
                        <c:v>7.3135115749873503</c:v>
                      </c:pt>
                      <c:pt idx="438" formatCode="General">
                        <c:v>7.40555573858376</c:v>
                      </c:pt>
                      <c:pt idx="439" formatCode="General">
                        <c:v>7.4984198826004098</c:v>
                      </c:pt>
                      <c:pt idx="440" formatCode="General">
                        <c:v>7.5920798753365899</c:v>
                      </c:pt>
                      <c:pt idx="441" formatCode="General">
                        <c:v>7.68651050037984</c:v>
                      </c:pt>
                      <c:pt idx="442" formatCode="General">
                        <c:v>7.7816854696310296</c:v>
                      </c:pt>
                      <c:pt idx="443" formatCode="General">
                        <c:v>7.8775774384997304</c:v>
                      </c:pt>
                      <c:pt idx="444" formatCode="General">
                        <c:v>7.9741580232620999</c:v>
                      </c:pt>
                      <c:pt idx="445" formatCode="General">
                        <c:v>8.0713978205704908</c:v>
                      </c:pt>
                      <c:pt idx="446" formatCode="General">
                        <c:v>8.1692664290991406</c:v>
                      </c:pt>
                      <c:pt idx="447" formatCode="General">
                        <c:v>8.2677324733077509</c:v>
                      </c:pt>
                      <c:pt idx="448" formatCode="General">
                        <c:v>8.3667636293019498</c:v>
                      </c:pt>
                      <c:pt idx="449" formatCode="General">
                        <c:v>8.4663266527671102</c:v>
                      </c:pt>
                      <c:pt idx="450" formatCode="General">
                        <c:v>8.5663874089496606</c:v>
                      </c:pt>
                      <c:pt idx="451" formatCode="General">
                        <c:v>8.6669109046582609</c:v>
                      </c:pt>
                      <c:pt idx="452" formatCode="General">
                        <c:v>8.7678613222548005</c:v>
                      </c:pt>
                      <c:pt idx="453" formatCode="General">
                        <c:v>8.8692020556037203</c:v>
                      </c:pt>
                      <c:pt idx="454" formatCode="General">
                        <c:v>8.9708957479449793</c:v>
                      </c:pt>
                      <c:pt idx="455" formatCode="General">
                        <c:v>9.0729043316550104</c:v>
                      </c:pt>
                      <c:pt idx="456" formatCode="General">
                        <c:v>9.1751890698558203</c:v>
                      </c:pt>
                      <c:pt idx="457" formatCode="General">
                        <c:v>9.2777105998307299</c:v>
                      </c:pt>
                      <c:pt idx="458" formatCode="General">
                        <c:v>9.3804289782005501</c:v>
                      </c:pt>
                      <c:pt idx="459" formatCode="General">
                        <c:v>9.4833037278111192</c:v>
                      </c:pt>
                      <c:pt idx="460" formatCode="General">
                        <c:v>9.5862938862779394</c:v>
                      </c:pt>
                      <c:pt idx="461" formatCode="General">
                        <c:v>9.6893580561296204</c:v>
                      </c:pt>
                      <c:pt idx="462" formatCode="General">
                        <c:v>9.7924544564852791</c:v>
                      </c:pt>
                      <c:pt idx="463" formatCode="General">
                        <c:v>9.8955409761967292</c:v>
                      </c:pt>
                      <c:pt idx="464" formatCode="General">
                        <c:v>9.9985752283786198</c:v>
                      </c:pt>
                      <c:pt idx="465" formatCode="General">
                        <c:v>10.1015146062442</c:v>
                      </c:pt>
                      <c:pt idx="466" formatCode="General">
                        <c:v>10.204316340157</c:v>
                      </c:pt>
                      <c:pt idx="467" formatCode="General">
                        <c:v>10.3069375558002</c:v>
                      </c:pt>
                      <c:pt idx="468" formatCode="General">
                        <c:v>10.409335333362099</c:v>
                      </c:pt>
                      <c:pt idx="469" formatCode="General">
                        <c:v>10.511466767623199</c:v>
                      </c:pt>
                      <c:pt idx="470" formatCode="General">
                        <c:v>10.6132890288276</c:v>
                      </c:pt>
                      <c:pt idx="471" formatCode="General">
                        <c:v>10.714759424211399</c:v>
                      </c:pt>
                      <c:pt idx="472" formatCode="General">
                        <c:v>10.815835460054901</c:v>
                      </c:pt>
                      <c:pt idx="473" formatCode="General">
                        <c:v>10.916474904118299</c:v>
                      </c:pt>
                      <c:pt idx="474" formatCode="General">
                        <c:v>11.016635848312999</c:v>
                      </c:pt>
                      <c:pt idx="475" formatCode="General">
                        <c:v>11.116276771456899</c:v>
                      </c:pt>
                      <c:pt idx="476" formatCode="General">
                        <c:v>11.2153566019529</c:v>
                      </c:pt>
                      <c:pt idx="477" formatCode="General">
                        <c:v>11.313834780229</c:v>
                      </c:pt>
                      <c:pt idx="478" formatCode="General">
                        <c:v>11.411671320770401</c:v>
                      </c:pt>
                      <c:pt idx="479" formatCode="General">
                        <c:v>11.508826873571699</c:v>
                      </c:pt>
                      <c:pt idx="480" formatCode="General">
                        <c:v>11.6052627848347</c:v>
                      </c:pt>
                      <c:pt idx="481" formatCode="General">
                        <c:v>11.700941156734499</c:v>
                      </c:pt>
                      <c:pt idx="482" formatCode="General">
                        <c:v>11.795824906074399</c:v>
                      </c:pt>
                      <c:pt idx="483" formatCode="General">
                        <c:v>11.8898778216516</c:v>
                      </c:pt>
                      <c:pt idx="484" formatCode="General">
                        <c:v>11.9830646201526</c:v>
                      </c:pt>
                      <c:pt idx="485" formatCode="General">
                        <c:v>12.0753510004022</c:v>
                      </c:pt>
                      <c:pt idx="486" formatCode="General">
                        <c:v>12.166703695789</c:v>
                      </c:pt>
                      <c:pt idx="487" formatCode="General">
                        <c:v>12.257090524693499</c:v>
                      </c:pt>
                      <c:pt idx="488" formatCode="General">
                        <c:v>12.3464804387506</c:v>
                      </c:pt>
                      <c:pt idx="489" formatCode="General">
                        <c:v>12.434843568781501</c:v>
                      </c:pt>
                      <c:pt idx="490" formatCode="General">
                        <c:v>12.522151268234101</c:v>
                      </c:pt>
                      <c:pt idx="491" formatCode="General">
                        <c:v>12.608376153981901</c:v>
                      </c:pt>
                      <c:pt idx="492" formatCode="General">
                        <c:v>12.693492144333</c:v>
                      </c:pt>
                      <c:pt idx="493" formatCode="General">
                        <c:v>12.7774744941153</c:v>
                      </c:pt>
                      <c:pt idx="494" formatCode="General">
                        <c:v>12.860299826706401</c:v>
                      </c:pt>
                      <c:pt idx="495" formatCode="General">
                        <c:v>12.941946162893201</c:v>
                      </c:pt>
                      <c:pt idx="496" formatCode="General">
                        <c:v>13.022392946451699</c:v>
                      </c:pt>
                      <c:pt idx="497" formatCode="General">
                        <c:v>13.1016210663515</c:v>
                      </c:pt>
                      <c:pt idx="498" formatCode="General">
                        <c:v>13.179612875503</c:v>
                      </c:pt>
                      <c:pt idx="499" formatCode="General">
                        <c:v>13.256352205973201</c:v>
                      </c:pt>
                      <c:pt idx="500" formatCode="General">
                        <c:v>13.331824380615901</c:v>
                      </c:pt>
                      <c:pt idx="501" formatCode="General">
                        <c:v>13.4060162210714</c:v>
                      </c:pt>
                      <c:pt idx="502" formatCode="General">
                        <c:v>13.478916052106401</c:v>
                      </c:pt>
                      <c:pt idx="503" formatCode="General">
                        <c:v>13.550513702281799</c:v>
                      </c:pt>
                      <c:pt idx="504" formatCode="General">
                        <c:v>13.6208005009485</c:v>
                      </c:pt>
                      <c:pt idx="505" formatCode="General">
                        <c:v>13.689769271587499</c:v>
                      </c:pt>
                      <c:pt idx="506" formatCode="General">
                        <c:v>13.757414321529</c:v>
                      </c:pt>
                      <c:pt idx="507" formatCode="General">
                        <c:v>13.8237314280957</c:v>
                      </c:pt>
                      <c:pt idx="508" formatCode="General">
                        <c:v>13.8887178212363</c:v>
                      </c:pt>
                      <c:pt idx="509" formatCode="General">
                        <c:v>13.952372162726901</c:v>
                      </c:pt>
                      <c:pt idx="510" formatCode="General">
                        <c:v>14.014694522035899</c:v>
                      </c:pt>
                      <c:pt idx="511" formatCode="General">
                        <c:v>14.07568634896</c:v>
                      </c:pt>
                      <c:pt idx="512" formatCode="General">
                        <c:v>14.1353504431574</c:v>
                      </c:pt>
                      <c:pt idx="513" formatCode="General">
                        <c:v>14.1936909207128</c:v>
                      </c:pt>
                      <c:pt idx="514" formatCode="General">
                        <c:v>14.250713177886601</c:v>
                      </c:pt>
                      <c:pt idx="515" formatCode="General">
                        <c:v>14.3064238522108</c:v>
                      </c:pt>
                      <c:pt idx="516" formatCode="General">
                        <c:v>14.3608307811052</c:v>
                      </c:pt>
                      <c:pt idx="517" formatCode="General">
                        <c:v>14.413942958199399</c:v>
                      </c:pt>
                      <c:pt idx="518" formatCode="General">
                        <c:v>14.465770487553501</c:v>
                      </c:pt>
                      <c:pt idx="519" formatCode="General">
                        <c:v>14.5163245359816</c:v>
                      </c:pt>
                      <c:pt idx="520" formatCode="General">
                        <c:v>14.565617283685601</c:v>
                      </c:pt>
                      <c:pt idx="521" formatCode="General">
                        <c:v>14.6136618734148</c:v>
                      </c:pt>
                      <c:pt idx="522" formatCode="General">
                        <c:v>14.660472358371001</c:v>
                      </c:pt>
                      <c:pt idx="523" formatCode="General">
                        <c:v>14.706063649081401</c:v>
                      </c:pt>
                      <c:pt idx="524" formatCode="General">
                        <c:v>14.7504514594621</c:v>
                      </c:pt>
                      <c:pt idx="525" formatCode="General">
                        <c:v>14.793652252297701</c:v>
                      </c:pt>
                      <c:pt idx="526" formatCode="General">
                        <c:v>14.8356831843584</c:v>
                      </c:pt>
                      <c:pt idx="527" formatCode="General">
                        <c:v>14.8765620513761</c:v>
                      </c:pt>
                      <c:pt idx="528" formatCode="General">
                        <c:v>14.9163072330935</c:v>
                      </c:pt>
                      <c:pt idx="529" formatCode="General">
                        <c:v>14.954937638599199</c:v>
                      </c:pt>
                      <c:pt idx="530" formatCode="General">
                        <c:v>14.992472652149599</c:v>
                      </c:pt>
                      <c:pt idx="531" formatCode="General">
                        <c:v>15.028932079677</c:v>
                      </c:pt>
                      <c:pt idx="532" formatCode="General">
                        <c:v>15.0643360961674</c:v>
                      </c:pt>
                      <c:pt idx="533" formatCode="General">
                        <c:v>15.098705194087</c:v>
                      </c:pt>
                      <c:pt idx="534" formatCode="General">
                        <c:v>15.1320601330219</c:v>
                      </c:pt>
                      <c:pt idx="535" formatCode="General">
                        <c:v>15.164421890684601</c:v>
                      </c:pt>
                      <c:pt idx="536" formatCode="General">
                        <c:v>15.1958116154286</c:v>
                      </c:pt>
                      <c:pt idx="537" formatCode="General">
                        <c:v>15.226250580399</c:v>
                      </c:pt>
                      <c:pt idx="538" formatCode="General">
                        <c:v>15.2557601394317</c:v>
                      </c:pt>
                      <c:pt idx="539" formatCode="General">
                        <c:v>15.2843616848031</c:v>
                      </c:pt>
                      <c:pt idx="540" formatCode="General">
                        <c:v>15.312076606914401</c:v>
                      </c:pt>
                      <c:pt idx="541" formatCode="General">
                        <c:v>15.338926255981701</c:v>
                      </c:pt>
                      <c:pt idx="542" formatCode="General">
                        <c:v>15.3649319057896</c:v>
                      </c:pt>
                      <c:pt idx="543" formatCode="General">
                        <c:v>15.3901147195504</c:v>
                      </c:pt>
                      <c:pt idx="544" formatCode="General">
                        <c:v>15.414495717898401</c:v>
                      </c:pt>
                      <c:pt idx="545" formatCode="General">
                        <c:v>15.438095749034</c:v>
                      </c:pt>
                      <c:pt idx="546" formatCode="General">
                        <c:v>15.4609354610211</c:v>
                      </c:pt>
                      <c:pt idx="547" formatCode="General">
                        <c:v>15.483035276227699</c:v>
                      </c:pt>
                      <c:pt idx="548" formatCode="General">
                        <c:v>15.504415367889401</c:v>
                      </c:pt>
                      <c:pt idx="549" formatCode="General">
                        <c:v>15.5250956387614</c:v>
                      </c:pt>
                      <c:pt idx="550" formatCode="General">
                        <c:v>15.545095701821401</c:v>
                      </c:pt>
                      <c:pt idx="551" formatCode="General">
                        <c:v>15.564434862967801</c:v>
                      </c:pt>
                      <c:pt idx="552" formatCode="General">
                        <c:v>15.5831321056577</c:v>
                      </c:pt>
                      <c:pt idx="553" formatCode="General">
                        <c:v>15.6012060774164</c:v>
                      </c:pt>
                      <c:pt idx="554" formatCode="General">
                        <c:v>15.6186750781473</c:v>
                      </c:pt>
                      <c:pt idx="555" formatCode="General">
                        <c:v>15.6355570501635</c:v>
                      </c:pt>
                      <c:pt idx="556" formatCode="General">
                        <c:v>15.651869569859601</c:v>
                      </c:pt>
                      <c:pt idx="557" formatCode="General">
                        <c:v>15.667629840938501</c:v>
                      </c:pt>
                      <c:pt idx="558" formatCode="General">
                        <c:v>15.682854689104399</c:v>
                      </c:pt>
                      <c:pt idx="559" formatCode="General">
                        <c:v>15.697560558134599</c:v>
                      </c:pt>
                      <c:pt idx="560" formatCode="General">
                        <c:v>15.711763507236601</c:v>
                      </c:pt>
                      <c:pt idx="561" formatCode="General">
                        <c:v>15.7254792096033</c:v>
                      </c:pt>
                      <c:pt idx="562" formatCode="General">
                        <c:v>15.7387229520746</c:v>
                      </c:pt>
                      <c:pt idx="563" formatCode="General">
                        <c:v>15.751509635817101</c:v>
                      </c:pt>
                      <c:pt idx="564" formatCode="General">
                        <c:v>15.763853777936299</c:v>
                      </c:pt>
                      <c:pt idx="565" formatCode="General">
                        <c:v>15.7757695139353</c:v>
                      </c:pt>
                      <c:pt idx="566" formatCode="General">
                        <c:v>15.787270600939801</c:v>
                      </c:pt>
                      <c:pt idx="567" formatCode="General">
                        <c:v>15.7983704216101</c:v>
                      </c:pt>
                      <c:pt idx="568" formatCode="General">
                        <c:v>15.8090819886652</c:v>
                      </c:pt>
                      <c:pt idx="569" formatCode="General">
                        <c:v>15.8194179499475</c:v>
                      </c:pt>
                      <c:pt idx="570" formatCode="General">
                        <c:v>15.8293905939615</c:v>
                      </c:pt>
                      <c:pt idx="571" formatCode="General">
                        <c:v>15.8390118558205</c:v>
                      </c:pt>
                      <c:pt idx="572" formatCode="General">
                        <c:v>15.848293323544899</c:v>
                      </c:pt>
                      <c:pt idx="573" formatCode="General">
                        <c:v>15.8572462446537</c:v>
                      </c:pt>
                      <c:pt idx="574" formatCode="General">
                        <c:v>15.8658815330003</c:v>
                      </c:pt>
                      <c:pt idx="575" formatCode="General">
                        <c:v>15.8742097758025</c:v>
                      </c:pt>
                      <c:pt idx="576" formatCode="General">
                        <c:v>15.8822412408263</c:v>
                      </c:pt>
                      <c:pt idx="577" formatCode="General">
                        <c:v>15.8899858836802</c:v>
                      </c:pt>
                      <c:pt idx="578" formatCode="General">
                        <c:v>15.8974533551877</c:v>
                      </c:pt>
                      <c:pt idx="579" formatCode="General">
                        <c:v>15.9046530088024</c:v>
                      </c:pt>
                      <c:pt idx="580" formatCode="General">
                        <c:v>15.911593908038</c:v>
                      </c:pt>
                      <c:pt idx="581" formatCode="General">
                        <c:v>15.918284833887199</c:v>
                      </c:pt>
                      <c:pt idx="582" formatCode="General">
                        <c:v>15.9247342922057</c:v>
                      </c:pt>
                      <c:pt idx="583" formatCode="General">
                        <c:v>15.9309505210419</c:v>
                      </c:pt>
                      <c:pt idx="584" formatCode="General">
                        <c:v>15.936941497893301</c:v>
                      </c:pt>
                      <c:pt idx="585" formatCode="General">
                        <c:v>15.942714946875901</c:v>
                      </c:pt>
                      <c:pt idx="586" formatCode="General">
                        <c:v>15.948278345792501</c:v>
                      </c:pt>
                      <c:pt idx="587" formatCode="General">
                        <c:v>15.953638933088101</c:v>
                      </c:pt>
                      <c:pt idx="588" formatCode="General">
                        <c:v>15.958803714685301</c:v>
                      </c:pt>
                      <c:pt idx="589" formatCode="General">
                        <c:v>15.9637794706899</c:v>
                      </c:pt>
                      <c:pt idx="590" formatCode="General">
                        <c:v>15.968572761960999</c:v>
                      </c:pt>
                      <c:pt idx="591" formatCode="General">
                        <c:v>15.973189936542299</c:v>
                      </c:pt>
                      <c:pt idx="592" formatCode="General">
                        <c:v>15.9776371359495</c:v>
                      </c:pt>
                      <c:pt idx="593" formatCode="General">
                        <c:v>15.9819203013107</c:v>
                      </c:pt>
                      <c:pt idx="594" formatCode="General">
                        <c:v>15.986045179361501</c:v>
                      </c:pt>
                      <c:pt idx="595" formatCode="General">
                        <c:v>15.990017328288801</c:v>
                      </c:pt>
                      <c:pt idx="596" formatCode="General">
                        <c:v>15.993842123429101</c:v>
                      </c:pt>
                      <c:pt idx="597" formatCode="General">
                        <c:v>15.9975247628166</c:v>
                      </c:pt>
                      <c:pt idx="598" formatCode="General">
                        <c:v>16.001070272586201</c:v>
                      </c:pt>
                      <c:pt idx="599" formatCode="General">
                        <c:v>16.004483512230099</c:v>
                      </c:pt>
                      <c:pt idx="600" formatCode="General">
                        <c:v>16.007769179711801</c:v>
                      </c:pt>
                      <c:pt idx="601" formatCode="General">
                        <c:v>16.010931816438902</c:v>
                      </c:pt>
                      <c:pt idx="602" formatCode="General">
                        <c:v>16.013975812096501</c:v>
                      </c:pt>
                      <c:pt idx="603" formatCode="General">
                        <c:v>16.016905409345998</c:v>
                      </c:pt>
                      <c:pt idx="604" formatCode="General">
                        <c:v>16.019724708389301</c:v>
                      </c:pt>
                      <c:pt idx="605" formatCode="General">
                        <c:v>16.022437671403999</c:v>
                      </c:pt>
                      <c:pt idx="606" formatCode="General">
                        <c:v>16.0250481268504</c:v>
                      </c:pt>
                      <c:pt idx="607" formatCode="General">
                        <c:v>16.027559773655401</c:v>
                      </c:pt>
                      <c:pt idx="608" formatCode="General">
                        <c:v>16.029976185274201</c:v>
                      </c:pt>
                      <c:pt idx="609" formatCode="General">
                        <c:v>16.032300813635501</c:v>
                      </c:pt>
                      <c:pt idx="610" formatCode="General">
                        <c:v>16.034536992970999</c:v>
                      </c:pt>
                      <c:pt idx="611" formatCode="General">
                        <c:v>16.036687943533099</c:v>
                      </c:pt>
                      <c:pt idx="612" formatCode="General">
                        <c:v>16.038756775204799</c:v>
                      </c:pt>
                      <c:pt idx="613" formatCode="General">
                        <c:v>16.040746491003102</c:v>
                      </c:pt>
                      <c:pt idx="614" formatCode="General">
                        <c:v>16.042659990480001</c:v>
                      </c:pt>
                      <c:pt idx="615" formatCode="General">
                        <c:v>16.044500073023599</c:v>
                      </c:pt>
                      <c:pt idx="616" formatCode="General">
                        <c:v>16.0462694410623</c:v>
                      </c:pt>
                      <c:pt idx="617" formatCode="General">
                        <c:v>16.047970703174101</c:v>
                      </c:pt>
                      <c:pt idx="618" formatCode="General">
                        <c:v>16.049606377105199</c:v>
                      </c:pt>
                      <c:pt idx="619" formatCode="General">
                        <c:v>16.051178892698399</c:v>
                      </c:pt>
                      <c:pt idx="620" formatCode="General">
                        <c:v>16.052690594735498</c:v>
                      </c:pt>
                      <c:pt idx="621" formatCode="General">
                        <c:v>16.054143745695999</c:v>
                      </c:pt>
                      <c:pt idx="622" formatCode="General">
                        <c:v>16.055540528433198</c:v>
                      </c:pt>
                      <c:pt idx="623" formatCode="General">
                        <c:v>16.056883048771098</c:v>
                      </c:pt>
                      <c:pt idx="624" formatCode="General">
                        <c:v>16.058173338024002</c:v>
                      </c:pt>
                      <c:pt idx="625" formatCode="General">
                        <c:v>16.059413355441901</c:v>
                      </c:pt>
                      <c:pt idx="626" formatCode="General">
                        <c:v>16.060604990581101</c:v>
                      </c:pt>
                      <c:pt idx="627" formatCode="General">
                        <c:v>16.0617500656057</c:v>
                      </c:pt>
                      <c:pt idx="628" formatCode="General">
                        <c:v>16.062850337518501</c:v>
                      </c:pt>
                      <c:pt idx="629" formatCode="General">
                        <c:v>16.063907500326302</c:v>
                      </c:pt>
                      <c:pt idx="630" formatCode="General">
                        <c:v>16.0649231871386</c:v>
                      </c:pt>
                      <c:pt idx="631" formatCode="General">
                        <c:v>16.065898972203701</c:v>
                      </c:pt>
                      <c:pt idx="632" formatCode="General">
                        <c:v>16.066836372882801</c:v>
                      </c:pt>
                      <c:pt idx="633" formatCode="General">
                        <c:v>16.067736851564099</c:v>
                      </c:pt>
                      <c:pt idx="634" formatCode="General">
                        <c:v>16.068601817518399</c:v>
                      </c:pt>
                      <c:pt idx="635" formatCode="General">
                        <c:v>16.069432628698401</c:v>
                      </c:pt>
                      <c:pt idx="636" formatCode="General">
                        <c:v>16.070230593481899</c:v>
                      </c:pt>
                      <c:pt idx="637" formatCode="General">
                        <c:v>16.070996972362501</c:v>
                      </c:pt>
                      <c:pt idx="638" formatCode="General">
                        <c:v>16.071732979586699</c:v>
                      </c:pt>
                      <c:pt idx="639" formatCode="General">
                        <c:v>16.072439784741199</c:v>
                      </c:pt>
                      <c:pt idx="640" formatCode="General">
                        <c:v>16.073118514290702</c:v>
                      </c:pt>
                      <c:pt idx="641" formatCode="General">
                        <c:v>16.073770253066701</c:v>
                      </c:pt>
                      <c:pt idx="642" formatCode="General">
                        <c:v>16.074396045711001</c:v>
                      </c:pt>
                      <c:pt idx="643" formatCode="General">
                        <c:v>16.074996898072399</c:v>
                      </c:pt>
                      <c:pt idx="644" formatCode="General">
                        <c:v>16.075573778560301</c:v>
                      </c:pt>
                      <c:pt idx="645" formatCode="General">
                        <c:v>16.0761276194545</c:v>
                      </c:pt>
                      <c:pt idx="646" formatCode="General">
                        <c:v>16.076659318173601</c:v>
                      </c:pt>
                      <c:pt idx="647" formatCode="General">
                        <c:v>16.0771697385028</c:v>
                      </c:pt>
                      <c:pt idx="648" formatCode="General">
                        <c:v>16.0776597117822</c:v>
                      </c:pt>
                      <c:pt idx="649" formatCode="General">
                        <c:v>16.078130038056901</c:v>
                      </c:pt>
                      <c:pt idx="650" formatCode="General">
                        <c:v>16.078581487189101</c:v>
                      </c:pt>
                      <c:pt idx="651" formatCode="General">
                        <c:v>16.079014799934999</c:v>
                      </c:pt>
                      <c:pt idx="652" formatCode="General">
                        <c:v>16.079430688985699</c:v>
                      </c:pt>
                      <c:pt idx="653" formatCode="General">
                        <c:v>16.079829839974401</c:v>
                      </c:pt>
                      <c:pt idx="654" formatCode="General">
                        <c:v>16.0802129124502</c:v>
                      </c:pt>
                      <c:pt idx="655" formatCode="General">
                        <c:v>16.0805805408196</c:v>
                      </c:pt>
                      <c:pt idx="656" formatCode="General">
                        <c:v>16.080933335256599</c:v>
                      </c:pt>
                      <c:pt idx="657" formatCode="General">
                        <c:v>16.0812718825829</c:v>
                      </c:pt>
                      <c:pt idx="658" formatCode="General">
                        <c:v>16.081596747118201</c:v>
                      </c:pt>
                      <c:pt idx="659" formatCode="General">
                        <c:v>16.081908471499201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C13A-448B-B344-CEA92E205FB0}"/>
                  </c:ext>
                </c:extLst>
              </c15:ser>
            </c15:filteredScatterSeries>
          </c:ext>
        </c:extLst>
      </c:scatterChart>
      <c:valAx>
        <c:axId val="2131639920"/>
        <c:scaling>
          <c:logBase val="10"/>
          <c:orientation val="minMax"/>
          <c:min val="1.0000000000000003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t/t</a:t>
                </a:r>
                <a:r>
                  <a:rPr lang="en-US" sz="1800" baseline="-25000"/>
                  <a:t>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131646160"/>
        <c:crosses val="autoZero"/>
        <c:crossBetween val="midCat"/>
        <c:majorUnit val="100"/>
      </c:valAx>
      <c:valAx>
        <c:axId val="21316461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/>
                  <a:t>g-function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it-IT"/>
          </a:p>
        </c:txPr>
        <c:crossAx val="2131639920"/>
        <c:crossesAt val="1.0000000000000003E-4"/>
        <c:crossBetween val="midCat"/>
        <c:majorUnit val="3"/>
      </c:valAx>
      <c:spPr>
        <a:noFill/>
        <a:ln>
          <a:solidFill>
            <a:schemeClr val="bg1"/>
          </a:solidFill>
        </a:ln>
        <a:effectLst/>
      </c:spPr>
    </c:plotArea>
    <c:legend>
      <c:legendPos val="l"/>
      <c:layout>
        <c:manualLayout>
          <c:xMode val="edge"/>
          <c:yMode val="edge"/>
          <c:x val="0.15587406958745542"/>
          <c:y val="0.11729048019940906"/>
          <c:w val="0.22854383202099737"/>
          <c:h val="0.19901368461017843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it-IT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538E9C-7809-42BA-8504-404638AE2A1E}">
  <sheetPr/>
  <sheetViews>
    <sheetView tabSelected="1" zoomScale="8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156210</xdr:colOff>
      <xdr:row>1</xdr:row>
      <xdr:rowOff>20002</xdr:rowOff>
    </xdr:from>
    <xdr:to>
      <xdr:col>21</xdr:col>
      <xdr:colOff>461010</xdr:colOff>
      <xdr:row>15</xdr:row>
      <xdr:rowOff>88582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A0C2B45-A671-D546-0DEC-263A6C6CD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7900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514C00D-F1D6-9F66-C132-ED94F510124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GELA VALERIA MICELI" id="{2A589337-9C5F-456A-890A-B5BD0CF04E82}" userId="S::angelavaleria.miceli@unipa.it::57446540-a84b-4008-afdf-a9171362c89d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4-12-06T11:11:52.74" personId="{2A589337-9C5F-456A-890A-B5BD0CF04E82}" id="{BDF451DC-9B46-48D2-8E23-323DD09C2F07}">
    <text>Vecchio modello, senza grout, 3 eq, delta = 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3725F-04DF-4849-BFCA-F39134A11F74}">
  <dimension ref="A1:N661"/>
  <sheetViews>
    <sheetView workbookViewId="0">
      <selection activeCell="L2" sqref="L2:N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  <c r="J1" t="s">
        <v>0</v>
      </c>
      <c r="K1" t="s">
        <v>5</v>
      </c>
      <c r="M1" t="s">
        <v>0</v>
      </c>
      <c r="N1" t="s">
        <v>4</v>
      </c>
    </row>
    <row r="2" spans="1:14" x14ac:dyDescent="0.3">
      <c r="A2">
        <v>0</v>
      </c>
      <c r="B2">
        <v>0.44792384000000002</v>
      </c>
      <c r="D2">
        <v>0</v>
      </c>
      <c r="E2">
        <v>0.45738997999999997</v>
      </c>
      <c r="G2">
        <v>0</v>
      </c>
      <c r="H2">
        <v>0.52321446000000005</v>
      </c>
      <c r="J2">
        <v>0</v>
      </c>
      <c r="K2">
        <v>1.4181253</v>
      </c>
      <c r="M2">
        <v>0</v>
      </c>
      <c r="N2">
        <v>4.057372</v>
      </c>
    </row>
    <row r="3" spans="1:14" x14ac:dyDescent="0.3">
      <c r="A3" s="1">
        <v>2.8583581999999999E-8</v>
      </c>
      <c r="B3">
        <v>0.46121909999999999</v>
      </c>
      <c r="D3" s="1">
        <v>2.8583581999999999E-8</v>
      </c>
      <c r="E3">
        <v>0.46557327999999998</v>
      </c>
      <c r="G3" s="1">
        <v>2.8583581999999999E-8</v>
      </c>
      <c r="H3">
        <v>0.52553119999999998</v>
      </c>
      <c r="J3" s="1">
        <v>2.8583581999999999E-8</v>
      </c>
      <c r="K3">
        <v>1.4182097</v>
      </c>
      <c r="M3" s="1">
        <v>2.8583581999999999E-8</v>
      </c>
      <c r="N3">
        <v>4.0573734999999997</v>
      </c>
    </row>
    <row r="4" spans="1:14" x14ac:dyDescent="0.3">
      <c r="A4" s="1">
        <v>5.7167163000000001E-8</v>
      </c>
      <c r="B4">
        <v>0.47098489999999998</v>
      </c>
      <c r="D4" s="1">
        <v>5.7167163000000001E-8</v>
      </c>
      <c r="E4">
        <v>0.47368932000000002</v>
      </c>
      <c r="G4" s="1">
        <v>5.7167163000000001E-8</v>
      </c>
      <c r="H4">
        <v>0.52784790000000004</v>
      </c>
      <c r="J4" s="1">
        <v>5.7167163000000001E-8</v>
      </c>
      <c r="K4">
        <v>1.4182942000000001</v>
      </c>
      <c r="M4" s="1">
        <v>5.7167163000000001E-8</v>
      </c>
      <c r="N4">
        <v>4.0573750000000004</v>
      </c>
    </row>
    <row r="5" spans="1:14" x14ac:dyDescent="0.3">
      <c r="A5" s="1">
        <v>8.5750739999999995E-8</v>
      </c>
      <c r="B5">
        <v>0.47894487000000002</v>
      </c>
      <c r="D5" s="1">
        <v>8.5750739999999995E-8</v>
      </c>
      <c r="E5">
        <v>0.47967695999999999</v>
      </c>
      <c r="G5" s="1">
        <v>8.5750739999999995E-8</v>
      </c>
      <c r="H5">
        <v>0.53016465999999995</v>
      </c>
      <c r="J5" s="1">
        <v>8.5750739999999995E-8</v>
      </c>
      <c r="K5">
        <v>1.4183786</v>
      </c>
      <c r="M5" s="1">
        <v>8.5750739999999995E-8</v>
      </c>
      <c r="N5">
        <v>4.0573763999999999</v>
      </c>
    </row>
    <row r="6" spans="1:14" x14ac:dyDescent="0.3">
      <c r="A6" s="1">
        <v>1.1433433E-7</v>
      </c>
      <c r="B6">
        <v>0.48518973999999998</v>
      </c>
      <c r="D6" s="1">
        <v>1.1433433E-7</v>
      </c>
      <c r="E6">
        <v>0.48563719999999999</v>
      </c>
      <c r="G6" s="1">
        <v>1.1433433E-7</v>
      </c>
      <c r="H6">
        <v>0.53248139999999999</v>
      </c>
      <c r="J6" s="1">
        <v>1.1433433E-7</v>
      </c>
      <c r="K6">
        <v>1.4184631000000001</v>
      </c>
      <c r="M6" s="1">
        <v>1.1433433E-7</v>
      </c>
      <c r="N6">
        <v>4.0573779999999999</v>
      </c>
    </row>
    <row r="7" spans="1:14" x14ac:dyDescent="0.3">
      <c r="A7" s="1">
        <v>1.4291791E-7</v>
      </c>
      <c r="B7">
        <v>0.49062228000000002</v>
      </c>
      <c r="D7" s="1">
        <v>1.4291791E-7</v>
      </c>
      <c r="E7">
        <v>0.49094322000000001</v>
      </c>
      <c r="G7" s="1">
        <v>1.4291791E-7</v>
      </c>
      <c r="H7">
        <v>0.53479810000000005</v>
      </c>
      <c r="J7" s="1">
        <v>1.4291791E-7</v>
      </c>
      <c r="K7">
        <v>1.4185475000000001</v>
      </c>
      <c r="M7" s="1">
        <v>1.4291791E-7</v>
      </c>
      <c r="N7">
        <v>4.0573791999999997</v>
      </c>
    </row>
    <row r="8" spans="1:14" x14ac:dyDescent="0.3">
      <c r="A8" s="1">
        <v>1.7150147999999999E-7</v>
      </c>
      <c r="B8">
        <v>0.49511280000000002</v>
      </c>
      <c r="D8" s="1">
        <v>1.7150147999999999E-7</v>
      </c>
      <c r="E8">
        <v>0.49580829999999998</v>
      </c>
      <c r="G8" s="1">
        <v>1.7150147999999999E-7</v>
      </c>
      <c r="H8">
        <v>0.53711485999999997</v>
      </c>
      <c r="J8" s="1">
        <v>1.7150147999999999E-7</v>
      </c>
      <c r="K8">
        <v>1.4186319000000001</v>
      </c>
      <c r="M8" s="1">
        <v>1.7150147999999999E-7</v>
      </c>
      <c r="N8">
        <v>4.0573800000000002</v>
      </c>
    </row>
    <row r="9" spans="1:14" x14ac:dyDescent="0.3">
      <c r="A9" s="1">
        <v>2.0008507E-7</v>
      </c>
      <c r="B9">
        <v>0.49952026999999999</v>
      </c>
      <c r="D9" s="1">
        <v>2.0008507E-7</v>
      </c>
      <c r="E9">
        <v>0.50023245999999999</v>
      </c>
      <c r="G9" s="1">
        <v>2.0008507E-7</v>
      </c>
      <c r="H9">
        <v>0.53939563000000001</v>
      </c>
      <c r="J9" s="1">
        <v>2.0008507E-7</v>
      </c>
      <c r="K9">
        <v>1.4187164000000001</v>
      </c>
      <c r="M9" s="1">
        <v>2.0008507E-7</v>
      </c>
      <c r="N9">
        <v>4.0573816000000003</v>
      </c>
    </row>
    <row r="10" spans="1:14" x14ac:dyDescent="0.3">
      <c r="A10" s="1">
        <v>2.2866865E-7</v>
      </c>
      <c r="B10">
        <v>0.50352419999999998</v>
      </c>
      <c r="D10" s="1">
        <v>2.2866865E-7</v>
      </c>
      <c r="E10">
        <v>0.50407519999999995</v>
      </c>
      <c r="G10" s="1">
        <v>2.2866865E-7</v>
      </c>
      <c r="H10">
        <v>0.5413019</v>
      </c>
      <c r="J10" s="1">
        <v>2.2866865E-7</v>
      </c>
      <c r="K10">
        <v>1.4188008000000001</v>
      </c>
      <c r="M10" s="1">
        <v>2.2866865E-7</v>
      </c>
      <c r="N10">
        <v>4.0573829999999997</v>
      </c>
    </row>
    <row r="11" spans="1:14" x14ac:dyDescent="0.3">
      <c r="A11" s="1">
        <v>2.5725222000000001E-7</v>
      </c>
      <c r="B11">
        <v>0.50712466</v>
      </c>
      <c r="D11" s="1">
        <v>2.5725222000000001E-7</v>
      </c>
      <c r="E11">
        <v>0.50671774000000003</v>
      </c>
      <c r="G11" s="1">
        <v>2.5725222000000001E-7</v>
      </c>
      <c r="H11">
        <v>0.54320824000000001</v>
      </c>
      <c r="J11" s="1">
        <v>2.5725222000000001E-7</v>
      </c>
      <c r="K11">
        <v>1.4188854</v>
      </c>
      <c r="M11" s="1">
        <v>2.5725222000000001E-7</v>
      </c>
      <c r="N11">
        <v>4.0573845000000004</v>
      </c>
    </row>
    <row r="12" spans="1:14" x14ac:dyDescent="0.3">
      <c r="A12" s="1">
        <v>2.8583582E-7</v>
      </c>
      <c r="B12">
        <v>0.51008819999999999</v>
      </c>
      <c r="D12" s="1">
        <v>2.8583582E-7</v>
      </c>
      <c r="E12">
        <v>0.50936024999999996</v>
      </c>
      <c r="G12" s="1">
        <v>2.8583582E-7</v>
      </c>
      <c r="H12">
        <v>0.54511449999999995</v>
      </c>
      <c r="J12" s="1">
        <v>2.8583582E-7</v>
      </c>
      <c r="K12">
        <v>1.4189697999999999</v>
      </c>
      <c r="M12" s="1">
        <v>2.8583582E-7</v>
      </c>
      <c r="N12">
        <v>4.0573860000000002</v>
      </c>
    </row>
    <row r="13" spans="1:14" x14ac:dyDescent="0.3">
      <c r="A13" s="1">
        <v>3.1441940000000003E-7</v>
      </c>
      <c r="B13">
        <v>0.51258062999999998</v>
      </c>
      <c r="D13" s="1">
        <v>3.1441940000000003E-7</v>
      </c>
      <c r="E13">
        <v>0.51200279999999998</v>
      </c>
      <c r="G13" s="1">
        <v>3.1441940000000003E-7</v>
      </c>
      <c r="H13">
        <v>0.54702079999999997</v>
      </c>
      <c r="J13" s="1">
        <v>3.1441940000000003E-7</v>
      </c>
      <c r="K13">
        <v>1.4190543</v>
      </c>
      <c r="M13" s="1">
        <v>3.1441940000000003E-7</v>
      </c>
      <c r="N13">
        <v>4.0573873999999996</v>
      </c>
    </row>
    <row r="14" spans="1:14" x14ac:dyDescent="0.3">
      <c r="A14" s="1">
        <v>3.4300297000000001E-7</v>
      </c>
      <c r="B14">
        <v>0.51507305999999997</v>
      </c>
      <c r="D14" s="1">
        <v>3.4300297000000001E-7</v>
      </c>
      <c r="E14">
        <v>0.51464533999999995</v>
      </c>
      <c r="G14" s="1">
        <v>3.4300297000000001E-7</v>
      </c>
      <c r="H14">
        <v>0.54892706999999996</v>
      </c>
      <c r="J14" s="1">
        <v>3.4300297000000001E-7</v>
      </c>
      <c r="K14">
        <v>1.4191387</v>
      </c>
      <c r="M14" s="1">
        <v>3.4300297000000001E-7</v>
      </c>
      <c r="N14">
        <v>4.0573889999999997</v>
      </c>
    </row>
    <row r="15" spans="1:14" x14ac:dyDescent="0.3">
      <c r="A15" s="1">
        <v>3.7158657000000001E-7</v>
      </c>
      <c r="B15">
        <v>0.51756550000000001</v>
      </c>
      <c r="D15" s="1">
        <v>3.7158657000000001E-7</v>
      </c>
      <c r="E15">
        <v>0.51728784999999999</v>
      </c>
      <c r="G15" s="1">
        <v>3.7158657000000001E-7</v>
      </c>
      <c r="H15">
        <v>0.55083340000000003</v>
      </c>
      <c r="J15" s="1">
        <v>3.7158657000000001E-7</v>
      </c>
      <c r="K15">
        <v>1.4192232</v>
      </c>
      <c r="M15" s="1">
        <v>3.7158657000000001E-7</v>
      </c>
      <c r="N15">
        <v>4.0573896999999999</v>
      </c>
    </row>
    <row r="16" spans="1:14" x14ac:dyDescent="0.3">
      <c r="A16" s="1">
        <v>4.0017013999999999E-7</v>
      </c>
      <c r="B16">
        <v>0.52005789999999996</v>
      </c>
      <c r="D16" s="1">
        <v>4.0017013999999999E-7</v>
      </c>
      <c r="E16">
        <v>0.51993040000000001</v>
      </c>
      <c r="G16" s="1">
        <v>4.0017013999999999E-7</v>
      </c>
      <c r="H16">
        <v>0.55272330000000003</v>
      </c>
      <c r="J16" s="1">
        <v>4.0017013999999999E-7</v>
      </c>
      <c r="K16">
        <v>1.4193076</v>
      </c>
      <c r="M16" s="1">
        <v>4.0017013999999999E-7</v>
      </c>
      <c r="N16">
        <v>4.057391</v>
      </c>
    </row>
    <row r="17" spans="1:14" x14ac:dyDescent="0.3">
      <c r="A17" s="1">
        <v>4.287537E-7</v>
      </c>
      <c r="B17">
        <v>0.52255039999999997</v>
      </c>
      <c r="D17" s="1">
        <v>4.287537E-7</v>
      </c>
      <c r="E17">
        <v>0.52257293000000005</v>
      </c>
      <c r="G17" s="1">
        <v>4.287537E-7</v>
      </c>
      <c r="H17">
        <v>0.55452067000000005</v>
      </c>
      <c r="J17" s="1">
        <v>4.287537E-7</v>
      </c>
      <c r="K17">
        <v>1.4193921</v>
      </c>
      <c r="M17" s="1">
        <v>4.287537E-7</v>
      </c>
      <c r="N17">
        <v>4.0573926</v>
      </c>
    </row>
    <row r="18" spans="1:14" x14ac:dyDescent="0.3">
      <c r="A18" s="1">
        <v>4.5733729999999999E-7</v>
      </c>
      <c r="B18">
        <v>0.52490800000000004</v>
      </c>
      <c r="D18" s="1">
        <v>4.5733729999999999E-7</v>
      </c>
      <c r="E18">
        <v>0.52508710000000003</v>
      </c>
      <c r="G18" s="1">
        <v>4.5733729999999999E-7</v>
      </c>
      <c r="H18">
        <v>0.55629163999999998</v>
      </c>
      <c r="J18" s="1">
        <v>4.5733729999999999E-7</v>
      </c>
      <c r="K18">
        <v>1.4194765</v>
      </c>
      <c r="M18" s="1">
        <v>4.5733729999999999E-7</v>
      </c>
      <c r="N18">
        <v>4.0573940000000004</v>
      </c>
    </row>
    <row r="19" spans="1:14" x14ac:dyDescent="0.3">
      <c r="A19" s="1">
        <v>4.8592089999999998E-7</v>
      </c>
      <c r="B19">
        <v>0.52706337000000003</v>
      </c>
      <c r="D19" s="1">
        <v>4.8592089999999998E-7</v>
      </c>
      <c r="E19">
        <v>0.52720549999999999</v>
      </c>
      <c r="G19" s="1">
        <v>4.8592089999999998E-7</v>
      </c>
      <c r="H19">
        <v>0.55803627</v>
      </c>
      <c r="J19" s="1">
        <v>4.8592089999999998E-7</v>
      </c>
      <c r="K19">
        <v>1.4195609</v>
      </c>
      <c r="M19" s="1">
        <v>4.8592089999999998E-7</v>
      </c>
      <c r="N19">
        <v>4.0573955000000002</v>
      </c>
    </row>
    <row r="20" spans="1:14" x14ac:dyDescent="0.3">
      <c r="A20" s="1">
        <v>5.1450444999999995E-7</v>
      </c>
      <c r="B20">
        <v>0.52921879999999999</v>
      </c>
      <c r="D20" s="1">
        <v>5.1450444999999995E-7</v>
      </c>
      <c r="E20">
        <v>0.52932400000000002</v>
      </c>
      <c r="G20" s="1">
        <v>5.1450444999999995E-7</v>
      </c>
      <c r="H20">
        <v>0.55975450000000004</v>
      </c>
      <c r="J20" s="1">
        <v>5.1450444999999995E-7</v>
      </c>
      <c r="K20">
        <v>1.4196454000000001</v>
      </c>
      <c r="M20" s="1">
        <v>5.1450444999999995E-7</v>
      </c>
      <c r="N20">
        <v>4.0573969999999999</v>
      </c>
    </row>
    <row r="21" spans="1:14" x14ac:dyDescent="0.3">
      <c r="A21" s="1">
        <v>5.4308805E-7</v>
      </c>
      <c r="B21">
        <v>0.53137416000000004</v>
      </c>
      <c r="D21" s="1">
        <v>5.4308805E-7</v>
      </c>
      <c r="E21">
        <v>0.53144245999999995</v>
      </c>
      <c r="G21" s="1">
        <v>5.4308805E-7</v>
      </c>
      <c r="H21">
        <v>0.56144636999999997</v>
      </c>
      <c r="J21" s="1">
        <v>5.4308805E-7</v>
      </c>
      <c r="K21">
        <v>1.4197298</v>
      </c>
      <c r="M21" s="1">
        <v>5.4308805E-7</v>
      </c>
      <c r="N21">
        <v>4.0573980000000001</v>
      </c>
    </row>
    <row r="22" spans="1:14" x14ac:dyDescent="0.3">
      <c r="A22" s="1">
        <v>5.7167165000000004E-7</v>
      </c>
      <c r="B22">
        <v>0.53352960000000005</v>
      </c>
      <c r="D22" s="1">
        <v>5.7167165000000004E-7</v>
      </c>
      <c r="E22">
        <v>0.5335609</v>
      </c>
      <c r="G22" s="1">
        <v>5.7167165000000004E-7</v>
      </c>
      <c r="H22">
        <v>0.5631119</v>
      </c>
      <c r="J22" s="1">
        <v>5.7167165000000004E-7</v>
      </c>
      <c r="K22">
        <v>1.4198143000000001</v>
      </c>
      <c r="M22" s="1">
        <v>5.7167165000000004E-7</v>
      </c>
      <c r="N22">
        <v>4.0573993000000002</v>
      </c>
    </row>
    <row r="23" spans="1:14" x14ac:dyDescent="0.3">
      <c r="A23" s="1">
        <v>6.0025520000000001E-7</v>
      </c>
      <c r="B23">
        <v>0.53568494</v>
      </c>
      <c r="D23" s="1">
        <v>6.0025520000000001E-7</v>
      </c>
      <c r="E23">
        <v>0.53567933999999995</v>
      </c>
      <c r="G23" s="1">
        <v>6.0025520000000001E-7</v>
      </c>
      <c r="H23">
        <v>0.564751</v>
      </c>
      <c r="J23" s="1">
        <v>6.0025520000000001E-7</v>
      </c>
      <c r="K23">
        <v>1.4198987000000001</v>
      </c>
      <c r="M23" s="1">
        <v>6.0025520000000001E-7</v>
      </c>
      <c r="N23">
        <v>4.0574006999999996</v>
      </c>
    </row>
    <row r="24" spans="1:14" x14ac:dyDescent="0.3">
      <c r="A24" s="1">
        <v>6.2883880000000005E-7</v>
      </c>
      <c r="B24">
        <v>0.5377343</v>
      </c>
      <c r="D24" s="1">
        <v>6.2883880000000005E-7</v>
      </c>
      <c r="E24">
        <v>0.53779779999999999</v>
      </c>
      <c r="G24" s="1">
        <v>6.2883880000000005E-7</v>
      </c>
      <c r="H24">
        <v>0.56636379999999997</v>
      </c>
      <c r="J24" s="1">
        <v>6.2883880000000005E-7</v>
      </c>
      <c r="K24">
        <v>1.4199832999999999</v>
      </c>
      <c r="M24" s="1">
        <v>6.2883880000000005E-7</v>
      </c>
      <c r="N24">
        <v>4.0574019999999997</v>
      </c>
    </row>
    <row r="25" spans="1:14" x14ac:dyDescent="0.3">
      <c r="A25" s="1">
        <v>6.5742239999999999E-7</v>
      </c>
      <c r="B25">
        <v>0.53962463000000005</v>
      </c>
      <c r="D25" s="1">
        <v>6.5742239999999999E-7</v>
      </c>
      <c r="E25">
        <v>0.53991619999999996</v>
      </c>
      <c r="G25" s="1">
        <v>6.5742239999999999E-7</v>
      </c>
      <c r="H25">
        <v>0.56795019999999996</v>
      </c>
      <c r="J25" s="1">
        <v>6.5742239999999999E-7</v>
      </c>
      <c r="K25">
        <v>1.4200676999999999</v>
      </c>
      <c r="M25" s="1">
        <v>6.5742239999999999E-7</v>
      </c>
      <c r="N25">
        <v>4.0574035999999998</v>
      </c>
    </row>
    <row r="26" spans="1:14" x14ac:dyDescent="0.3">
      <c r="A26" s="1">
        <v>6.8600592999999999E-7</v>
      </c>
      <c r="B26">
        <v>0.54151499999999997</v>
      </c>
      <c r="D26" s="1">
        <v>6.8600592999999999E-7</v>
      </c>
      <c r="E26">
        <v>0.54184540000000003</v>
      </c>
      <c r="G26" s="1">
        <v>6.8600592999999999E-7</v>
      </c>
      <c r="H26">
        <v>0.56951019999999997</v>
      </c>
      <c r="J26" s="1">
        <v>6.8600592999999999E-7</v>
      </c>
      <c r="K26">
        <v>1.4201522</v>
      </c>
      <c r="M26" s="1">
        <v>6.8600592999999999E-7</v>
      </c>
      <c r="N26">
        <v>4.0574050000000002</v>
      </c>
    </row>
    <row r="27" spans="1:14" x14ac:dyDescent="0.3">
      <c r="A27" s="1">
        <v>7.1458953000000004E-7</v>
      </c>
      <c r="B27">
        <v>0.54340529999999998</v>
      </c>
      <c r="D27" s="1">
        <v>7.1458953000000004E-7</v>
      </c>
      <c r="E27">
        <v>0.54344859999999995</v>
      </c>
      <c r="G27" s="1">
        <v>7.1458953000000004E-7</v>
      </c>
      <c r="H27">
        <v>0.57104390000000005</v>
      </c>
      <c r="J27" s="1">
        <v>7.1458953000000004E-7</v>
      </c>
      <c r="K27">
        <v>1.4202366</v>
      </c>
      <c r="M27" s="1">
        <v>7.1458953000000004E-7</v>
      </c>
      <c r="N27">
        <v>4.0574063999999996</v>
      </c>
    </row>
    <row r="28" spans="1:14" x14ac:dyDescent="0.3">
      <c r="A28" s="1">
        <v>7.4317312999999998E-7</v>
      </c>
      <c r="B28">
        <v>0.54529565999999996</v>
      </c>
      <c r="D28" s="1">
        <v>7.4317312999999998E-7</v>
      </c>
      <c r="E28">
        <v>0.54505190000000003</v>
      </c>
      <c r="G28" s="1">
        <v>7.4317312999999998E-7</v>
      </c>
      <c r="H28">
        <v>0.57255120000000004</v>
      </c>
      <c r="J28" s="1">
        <v>7.4317312999999998E-7</v>
      </c>
      <c r="K28">
        <v>1.4203211</v>
      </c>
      <c r="M28" s="1">
        <v>7.4317312999999998E-7</v>
      </c>
      <c r="N28">
        <v>4.0574073999999998</v>
      </c>
    </row>
    <row r="29" spans="1:14" x14ac:dyDescent="0.3">
      <c r="A29" s="1">
        <v>7.7175670000000002E-7</v>
      </c>
      <c r="B29">
        <v>0.54718595999999997</v>
      </c>
      <c r="D29" s="1">
        <v>7.7175670000000002E-7</v>
      </c>
      <c r="E29">
        <v>0.54665509999999995</v>
      </c>
      <c r="G29" s="1">
        <v>7.7175670000000002E-7</v>
      </c>
      <c r="H29">
        <v>0.57403210000000005</v>
      </c>
      <c r="J29" s="1">
        <v>7.7175670000000002E-7</v>
      </c>
      <c r="K29">
        <v>1.4204055</v>
      </c>
      <c r="M29" s="1">
        <v>7.7175670000000002E-7</v>
      </c>
      <c r="N29">
        <v>4.0574089999999998</v>
      </c>
    </row>
    <row r="30" spans="1:14" x14ac:dyDescent="0.3">
      <c r="A30" s="1">
        <v>8.0034029999999996E-7</v>
      </c>
      <c r="B30">
        <v>0.54904496999999997</v>
      </c>
      <c r="D30" s="1">
        <v>8.0034029999999996E-7</v>
      </c>
      <c r="E30">
        <v>0.54825835999999994</v>
      </c>
      <c r="G30" s="1">
        <v>8.0034029999999996E-7</v>
      </c>
      <c r="H30">
        <v>0.57548900000000003</v>
      </c>
      <c r="J30" s="1">
        <v>8.0034029999999996E-7</v>
      </c>
      <c r="K30">
        <v>1.4204899</v>
      </c>
      <c r="M30" s="1">
        <v>8.0034029999999996E-7</v>
      </c>
      <c r="N30">
        <v>4.0574101999999996</v>
      </c>
    </row>
    <row r="31" spans="1:14" x14ac:dyDescent="0.3">
      <c r="A31" s="1">
        <v>8.289239E-7</v>
      </c>
      <c r="B31">
        <v>0.55083965999999995</v>
      </c>
      <c r="D31" s="1">
        <v>8.289239E-7</v>
      </c>
      <c r="E31">
        <v>0.54986155000000003</v>
      </c>
      <c r="G31" s="1">
        <v>8.289239E-7</v>
      </c>
      <c r="H31">
        <v>0.57692469999999996</v>
      </c>
      <c r="J31" s="1">
        <v>8.289239E-7</v>
      </c>
      <c r="K31">
        <v>1.4205744</v>
      </c>
      <c r="M31" s="1">
        <v>8.289239E-7</v>
      </c>
      <c r="N31">
        <v>4.0574117000000003</v>
      </c>
    </row>
    <row r="32" spans="1:14" x14ac:dyDescent="0.3">
      <c r="A32" s="1">
        <v>8.575074E-7</v>
      </c>
      <c r="B32">
        <v>0.55260989999999999</v>
      </c>
      <c r="D32" s="1">
        <v>8.575074E-7</v>
      </c>
      <c r="E32">
        <v>0.55146479999999998</v>
      </c>
      <c r="G32" s="1">
        <v>8.575074E-7</v>
      </c>
      <c r="H32">
        <v>0.57833570000000001</v>
      </c>
      <c r="J32" s="1">
        <v>8.575074E-7</v>
      </c>
      <c r="K32">
        <v>1.4206588</v>
      </c>
      <c r="M32" s="1">
        <v>8.575074E-7</v>
      </c>
      <c r="N32">
        <v>4.0574130000000004</v>
      </c>
    </row>
    <row r="33" spans="1:14" x14ac:dyDescent="0.3">
      <c r="A33" s="1">
        <v>8.8609100000000004E-7</v>
      </c>
      <c r="B33">
        <v>0.55435559999999995</v>
      </c>
      <c r="D33" s="1">
        <v>8.8609100000000004E-7</v>
      </c>
      <c r="E33">
        <v>0.55306803999999998</v>
      </c>
      <c r="G33" s="1">
        <v>8.8609100000000004E-7</v>
      </c>
      <c r="H33">
        <v>0.57972217000000004</v>
      </c>
      <c r="J33" s="1">
        <v>8.8609100000000004E-7</v>
      </c>
      <c r="K33">
        <v>1.4207433</v>
      </c>
      <c r="M33" s="1">
        <v>8.8609100000000004E-7</v>
      </c>
      <c r="N33">
        <v>4.0574145000000001</v>
      </c>
    </row>
    <row r="34" spans="1:14" x14ac:dyDescent="0.3">
      <c r="A34" s="1">
        <v>9.1467459999999998E-7</v>
      </c>
      <c r="B34">
        <v>0.55607680000000004</v>
      </c>
      <c r="D34" s="1">
        <v>9.1467459999999998E-7</v>
      </c>
      <c r="E34">
        <v>0.55467129999999998</v>
      </c>
      <c r="G34" s="1">
        <v>9.1467459999999998E-7</v>
      </c>
      <c r="H34">
        <v>0.58108420000000005</v>
      </c>
      <c r="J34" s="1">
        <v>9.1467459999999998E-7</v>
      </c>
      <c r="K34">
        <v>1.4208277</v>
      </c>
      <c r="M34" s="1">
        <v>9.1467459999999998E-7</v>
      </c>
      <c r="N34">
        <v>4.0574155000000003</v>
      </c>
    </row>
    <row r="35" spans="1:14" x14ac:dyDescent="0.3">
      <c r="A35" s="1">
        <v>9.4325820000000003E-7</v>
      </c>
      <c r="B35">
        <v>0.55777350000000003</v>
      </c>
      <c r="D35" s="1">
        <v>9.4325820000000003E-7</v>
      </c>
      <c r="E35">
        <v>0.55627453000000004</v>
      </c>
      <c r="G35" s="1">
        <v>9.4325820000000003E-7</v>
      </c>
      <c r="H35">
        <v>0.58242196000000002</v>
      </c>
      <c r="J35" s="1">
        <v>9.4325820000000003E-7</v>
      </c>
      <c r="K35">
        <v>1.4209122999999999</v>
      </c>
      <c r="M35" s="1">
        <v>9.4325820000000003E-7</v>
      </c>
      <c r="N35">
        <v>4.0574170000000001</v>
      </c>
    </row>
    <row r="36" spans="1:14" x14ac:dyDescent="0.3">
      <c r="A36" s="1">
        <v>9.7184179999999996E-7</v>
      </c>
      <c r="B36">
        <v>0.55944240000000001</v>
      </c>
      <c r="D36" s="1">
        <v>9.7184179999999996E-7</v>
      </c>
      <c r="E36">
        <v>0.55787779999999998</v>
      </c>
      <c r="G36" s="1">
        <v>9.7184179999999996E-7</v>
      </c>
      <c r="H36">
        <v>0.58373547000000003</v>
      </c>
      <c r="J36" s="1">
        <v>9.7184179999999996E-7</v>
      </c>
      <c r="K36">
        <v>1.4209966999999999</v>
      </c>
      <c r="M36" s="1">
        <v>9.7184179999999996E-7</v>
      </c>
      <c r="N36">
        <v>4.0574183000000001</v>
      </c>
    </row>
    <row r="37" spans="1:14" x14ac:dyDescent="0.3">
      <c r="A37" s="1">
        <v>1.0004253000000001E-6</v>
      </c>
      <c r="B37">
        <v>0.56108009999999997</v>
      </c>
      <c r="D37" s="1">
        <v>1.0004253000000001E-6</v>
      </c>
      <c r="E37">
        <v>0.55948100000000001</v>
      </c>
      <c r="G37" s="1">
        <v>1.0004253000000001E-6</v>
      </c>
      <c r="H37">
        <v>0.58502494999999999</v>
      </c>
      <c r="J37" s="1">
        <v>1.0004253000000001E-6</v>
      </c>
      <c r="K37">
        <v>1.4210811999999999</v>
      </c>
      <c r="M37" s="1">
        <v>1.0004253000000001E-6</v>
      </c>
      <c r="N37">
        <v>4.0574199999999996</v>
      </c>
    </row>
    <row r="38" spans="1:14" x14ac:dyDescent="0.3">
      <c r="A38" s="1">
        <v>1.0290088999999999E-6</v>
      </c>
      <c r="B38">
        <v>0.56269069999999999</v>
      </c>
      <c r="D38" s="1">
        <v>1.0290088999999999E-6</v>
      </c>
      <c r="E38">
        <v>0.56108420000000003</v>
      </c>
      <c r="G38" s="1">
        <v>1.0290088999999999E-6</v>
      </c>
      <c r="H38">
        <v>0.58629054000000003</v>
      </c>
      <c r="J38" s="1">
        <v>1.0290088999999999E-6</v>
      </c>
      <c r="K38">
        <v>1.4211655999999999</v>
      </c>
      <c r="M38" s="1">
        <v>1.0290088999999999E-6</v>
      </c>
      <c r="N38">
        <v>4.0574209999999997</v>
      </c>
    </row>
    <row r="39" spans="1:14" x14ac:dyDescent="0.3">
      <c r="A39" s="1">
        <v>1.0575924999999999E-6</v>
      </c>
      <c r="B39">
        <v>0.56427424999999998</v>
      </c>
      <c r="D39" s="1">
        <v>1.0575924999999999E-6</v>
      </c>
      <c r="E39">
        <v>0.56268746000000003</v>
      </c>
      <c r="G39" s="1">
        <v>1.0575924999999999E-6</v>
      </c>
      <c r="H39">
        <v>0.58753233999999999</v>
      </c>
      <c r="J39" s="1">
        <v>1.0575924999999999E-6</v>
      </c>
      <c r="K39">
        <v>1.4212499999999999</v>
      </c>
      <c r="M39" s="1">
        <v>1.0575924999999999E-6</v>
      </c>
      <c r="N39">
        <v>4.0574225999999998</v>
      </c>
    </row>
    <row r="40" spans="1:14" x14ac:dyDescent="0.3">
      <c r="A40" s="1">
        <v>1.0861761E-6</v>
      </c>
      <c r="B40">
        <v>0.56583070000000002</v>
      </c>
      <c r="D40" s="1">
        <v>1.0861761E-6</v>
      </c>
      <c r="E40">
        <v>0.56429070000000003</v>
      </c>
      <c r="G40" s="1">
        <v>1.0861761E-6</v>
      </c>
      <c r="H40">
        <v>0.58875049999999995</v>
      </c>
      <c r="J40" s="1">
        <v>1.0861761E-6</v>
      </c>
      <c r="K40">
        <v>1.4213344999999999</v>
      </c>
      <c r="M40" s="1">
        <v>1.0861761E-6</v>
      </c>
      <c r="N40">
        <v>4.0574240000000001</v>
      </c>
    </row>
    <row r="41" spans="1:14" x14ac:dyDescent="0.3">
      <c r="A41" s="1">
        <v>1.1147597E-6</v>
      </c>
      <c r="B41">
        <v>0.56736010000000003</v>
      </c>
      <c r="D41" s="1">
        <v>1.1147597E-6</v>
      </c>
      <c r="E41">
        <v>0.56589394999999998</v>
      </c>
      <c r="G41" s="1">
        <v>1.1147597E-6</v>
      </c>
      <c r="H41">
        <v>0.5899451</v>
      </c>
      <c r="J41" s="1">
        <v>1.1147597E-6</v>
      </c>
      <c r="K41">
        <v>1.4214188999999999</v>
      </c>
      <c r="M41" s="1">
        <v>1.1147597E-6</v>
      </c>
      <c r="N41">
        <v>4.0574250000000003</v>
      </c>
    </row>
    <row r="42" spans="1:14" x14ac:dyDescent="0.3">
      <c r="A42" s="1">
        <v>1.1433433000000001E-6</v>
      </c>
      <c r="B42">
        <v>0.56886800000000004</v>
      </c>
      <c r="D42" s="1">
        <v>1.1433433000000001E-6</v>
      </c>
      <c r="E42">
        <v>0.56731653000000004</v>
      </c>
      <c r="G42" s="1">
        <v>1.1433433000000001E-6</v>
      </c>
      <c r="H42">
        <v>0.59111630000000004</v>
      </c>
      <c r="J42" s="1">
        <v>1.1433433000000001E-6</v>
      </c>
      <c r="K42">
        <v>1.4215034</v>
      </c>
      <c r="M42" s="1">
        <v>1.1433433000000001E-6</v>
      </c>
      <c r="N42">
        <v>4.0574265</v>
      </c>
    </row>
    <row r="43" spans="1:14" x14ac:dyDescent="0.3">
      <c r="A43" s="1">
        <v>1.1719268E-6</v>
      </c>
      <c r="B43">
        <v>0.57036010000000004</v>
      </c>
      <c r="D43" s="1">
        <v>1.1719268E-6</v>
      </c>
      <c r="E43">
        <v>0.56862480000000004</v>
      </c>
      <c r="G43" s="1">
        <v>1.1719268E-6</v>
      </c>
      <c r="H43">
        <v>0.59226424</v>
      </c>
      <c r="J43" s="1">
        <v>1.1719268E-6</v>
      </c>
      <c r="K43">
        <v>1.4215878</v>
      </c>
      <c r="M43" s="1">
        <v>1.1719268E-6</v>
      </c>
      <c r="N43">
        <v>4.0574279999999998</v>
      </c>
    </row>
    <row r="44" spans="1:14" x14ac:dyDescent="0.3">
      <c r="A44" s="1">
        <v>1.2005104E-6</v>
      </c>
      <c r="B44">
        <v>0.57182955999999996</v>
      </c>
      <c r="D44" s="1">
        <v>1.2005104E-6</v>
      </c>
      <c r="E44">
        <v>0.56993300000000002</v>
      </c>
      <c r="G44" s="1">
        <v>1.2005104E-6</v>
      </c>
      <c r="H44">
        <v>0.59338902999999998</v>
      </c>
      <c r="J44" s="1">
        <v>1.2005104E-6</v>
      </c>
      <c r="K44">
        <v>1.4216723</v>
      </c>
      <c r="M44" s="1">
        <v>1.2005104E-6</v>
      </c>
      <c r="N44">
        <v>4.0574292999999999</v>
      </c>
    </row>
    <row r="45" spans="1:14" x14ac:dyDescent="0.3">
      <c r="A45" s="1">
        <v>1.2290940000000001E-6</v>
      </c>
      <c r="B45">
        <v>0.57327620000000001</v>
      </c>
      <c r="D45" s="1">
        <v>1.2290940000000001E-6</v>
      </c>
      <c r="E45">
        <v>0.57124125999999997</v>
      </c>
      <c r="G45" s="1">
        <v>1.2290940000000001E-6</v>
      </c>
      <c r="H45">
        <v>0.59449090000000004</v>
      </c>
      <c r="J45" s="1">
        <v>1.2290940000000001E-6</v>
      </c>
      <c r="K45">
        <v>1.4217567</v>
      </c>
      <c r="M45" s="1">
        <v>1.2290940000000001E-6</v>
      </c>
      <c r="N45">
        <v>4.0574307000000003</v>
      </c>
    </row>
    <row r="46" spans="1:14" x14ac:dyDescent="0.3">
      <c r="A46" s="1">
        <v>1.2576776000000001E-6</v>
      </c>
      <c r="B46">
        <v>0.57470010000000005</v>
      </c>
      <c r="D46" s="1">
        <v>1.2576776000000001E-6</v>
      </c>
      <c r="E46">
        <v>0.57254945999999995</v>
      </c>
      <c r="G46" s="1">
        <v>1.2576776000000001E-6</v>
      </c>
      <c r="H46">
        <v>0.59556980000000004</v>
      </c>
      <c r="J46" s="1">
        <v>1.2576776000000001E-6</v>
      </c>
      <c r="K46">
        <v>1.4218413000000001</v>
      </c>
      <c r="M46" s="1">
        <v>1.2576776000000001E-6</v>
      </c>
      <c r="N46">
        <v>4.0574320000000004</v>
      </c>
    </row>
    <row r="47" spans="1:14" x14ac:dyDescent="0.3">
      <c r="A47" s="1">
        <v>1.2862611999999999E-6</v>
      </c>
      <c r="B47">
        <v>0.57610136000000001</v>
      </c>
      <c r="D47" s="1">
        <v>1.2862611999999999E-6</v>
      </c>
      <c r="E47">
        <v>0.57385770000000003</v>
      </c>
      <c r="G47" s="1">
        <v>1.2862611999999999E-6</v>
      </c>
      <c r="H47">
        <v>0.59662599999999999</v>
      </c>
      <c r="J47" s="1">
        <v>1.2862611999999999E-6</v>
      </c>
      <c r="K47">
        <v>1.4219257000000001</v>
      </c>
      <c r="M47" s="1">
        <v>1.2862611999999999E-6</v>
      </c>
      <c r="N47">
        <v>4.0574336000000004</v>
      </c>
    </row>
    <row r="48" spans="1:14" x14ac:dyDescent="0.3">
      <c r="A48" s="1">
        <v>1.3148448E-6</v>
      </c>
      <c r="B48">
        <v>0.57748449999999996</v>
      </c>
      <c r="D48" s="1">
        <v>1.3148448E-6</v>
      </c>
      <c r="E48">
        <v>0.57516590000000001</v>
      </c>
      <c r="G48" s="1">
        <v>1.3148448E-6</v>
      </c>
      <c r="H48">
        <v>0.59765950000000001</v>
      </c>
      <c r="J48" s="1">
        <v>1.3148448E-6</v>
      </c>
      <c r="K48">
        <v>1.4220101999999999</v>
      </c>
      <c r="M48" s="1">
        <v>1.3148448E-6</v>
      </c>
      <c r="N48">
        <v>4.0574345999999997</v>
      </c>
    </row>
    <row r="49" spans="1:14" x14ac:dyDescent="0.3">
      <c r="A49" s="1">
        <v>1.3434284E-6</v>
      </c>
      <c r="B49">
        <v>0.5788546</v>
      </c>
      <c r="D49" s="1">
        <v>1.3434284E-6</v>
      </c>
      <c r="E49">
        <v>0.57647420000000005</v>
      </c>
      <c r="G49" s="1">
        <v>1.3434284E-6</v>
      </c>
      <c r="H49">
        <v>0.59867060000000005</v>
      </c>
      <c r="J49" s="1">
        <v>1.3434284E-6</v>
      </c>
      <c r="K49">
        <v>1.4220946000000001</v>
      </c>
      <c r="M49" s="1">
        <v>1.3434284E-6</v>
      </c>
      <c r="N49">
        <v>4.057436</v>
      </c>
    </row>
    <row r="50" spans="1:14" x14ac:dyDescent="0.3">
      <c r="A50" s="1">
        <v>1.3720118999999999E-6</v>
      </c>
      <c r="B50">
        <v>0.58020570000000005</v>
      </c>
      <c r="D50" s="1">
        <v>1.3720118999999999E-6</v>
      </c>
      <c r="E50">
        <v>0.57778240000000003</v>
      </c>
      <c r="G50" s="1">
        <v>1.3720118999999999E-6</v>
      </c>
      <c r="H50">
        <v>0.59965930000000001</v>
      </c>
      <c r="J50" s="1">
        <v>1.3720118999999999E-6</v>
      </c>
      <c r="K50">
        <v>1.4221790000000001</v>
      </c>
      <c r="M50" s="1">
        <v>1.3720118999999999E-6</v>
      </c>
      <c r="N50">
        <v>4.0574374000000004</v>
      </c>
    </row>
    <row r="51" spans="1:14" x14ac:dyDescent="0.3">
      <c r="A51" s="1">
        <v>1.4005955E-6</v>
      </c>
      <c r="B51">
        <v>0.58153770000000005</v>
      </c>
      <c r="D51" s="1">
        <v>1.4005955E-6</v>
      </c>
      <c r="E51">
        <v>0.57909065000000004</v>
      </c>
      <c r="G51" s="1">
        <v>1.4005955E-6</v>
      </c>
      <c r="H51">
        <v>0.60062579999999999</v>
      </c>
      <c r="J51" s="1">
        <v>1.4005955E-6</v>
      </c>
      <c r="K51">
        <v>1.4222634999999999</v>
      </c>
      <c r="M51" s="1">
        <v>1.4005955E-6</v>
      </c>
      <c r="N51">
        <v>4.0574389999999996</v>
      </c>
    </row>
    <row r="52" spans="1:14" x14ac:dyDescent="0.3">
      <c r="A52" s="1">
        <v>1.4291791E-6</v>
      </c>
      <c r="B52">
        <v>0.58285070000000005</v>
      </c>
      <c r="D52" s="1">
        <v>1.4291791E-6</v>
      </c>
      <c r="E52">
        <v>0.58039885999999996</v>
      </c>
      <c r="G52" s="1">
        <v>1.4291791E-6</v>
      </c>
      <c r="H52">
        <v>0.60157020000000005</v>
      </c>
      <c r="J52" s="1">
        <v>1.4291791E-6</v>
      </c>
      <c r="K52">
        <v>1.4223479000000001</v>
      </c>
      <c r="M52" s="1">
        <v>1.4291791E-6</v>
      </c>
      <c r="N52">
        <v>4.0574402999999997</v>
      </c>
    </row>
    <row r="53" spans="1:14" x14ac:dyDescent="0.3">
      <c r="A53" s="1">
        <v>1.4577627000000001E-6</v>
      </c>
      <c r="B53">
        <v>0.58414460000000001</v>
      </c>
      <c r="D53" s="1">
        <v>1.4577627000000001E-6</v>
      </c>
      <c r="E53">
        <v>0.58170710000000003</v>
      </c>
      <c r="G53" s="1">
        <v>1.4577627000000001E-6</v>
      </c>
      <c r="H53">
        <v>0.60249262999999997</v>
      </c>
      <c r="J53" s="1">
        <v>1.4577627000000001E-6</v>
      </c>
      <c r="K53">
        <v>1.4224323999999999</v>
      </c>
      <c r="M53" s="1">
        <v>1.4577627000000001E-6</v>
      </c>
      <c r="N53">
        <v>4.0574417</v>
      </c>
    </row>
    <row r="54" spans="1:14" x14ac:dyDescent="0.3">
      <c r="A54" s="1">
        <v>1.4863463000000001E-6</v>
      </c>
      <c r="B54">
        <v>0.58542185999999996</v>
      </c>
      <c r="D54" s="1">
        <v>1.4863463000000001E-6</v>
      </c>
      <c r="E54">
        <v>0.58301530000000001</v>
      </c>
      <c r="G54" s="1">
        <v>1.4863463000000001E-6</v>
      </c>
      <c r="H54">
        <v>0.60339319999999996</v>
      </c>
      <c r="J54" s="1">
        <v>1.4863463000000001E-6</v>
      </c>
      <c r="K54">
        <v>1.4225167999999999</v>
      </c>
      <c r="M54" s="1">
        <v>1.4863463000000001E-6</v>
      </c>
      <c r="N54">
        <v>4.0574427000000002</v>
      </c>
    </row>
    <row r="55" spans="1:14" x14ac:dyDescent="0.3">
      <c r="A55" s="1">
        <v>1.5149298999999999E-6</v>
      </c>
      <c r="B55">
        <v>0.58668580000000004</v>
      </c>
      <c r="D55" s="1">
        <v>1.5149298999999999E-6</v>
      </c>
      <c r="E55">
        <v>0.58432360000000005</v>
      </c>
      <c r="G55" s="1">
        <v>1.5149298999999999E-6</v>
      </c>
      <c r="H55">
        <v>0.60427207000000005</v>
      </c>
      <c r="J55" s="1">
        <v>1.5149298999999999E-6</v>
      </c>
      <c r="K55">
        <v>1.4226013</v>
      </c>
      <c r="M55" s="1">
        <v>1.5149298999999999E-6</v>
      </c>
      <c r="N55">
        <v>4.0574440000000003</v>
      </c>
    </row>
    <row r="56" spans="1:14" x14ac:dyDescent="0.3">
      <c r="A56" s="1">
        <v>1.5435133000000001E-6</v>
      </c>
      <c r="B56">
        <v>0.58793395999999998</v>
      </c>
      <c r="D56" s="1">
        <v>1.5435133000000001E-6</v>
      </c>
      <c r="E56">
        <v>0.58563180000000004</v>
      </c>
      <c r="G56" s="1">
        <v>1.5435133000000001E-6</v>
      </c>
      <c r="H56">
        <v>0.60512935999999995</v>
      </c>
      <c r="J56" s="1">
        <v>1.5435133000000001E-6</v>
      </c>
      <c r="K56">
        <v>1.4226856999999999</v>
      </c>
      <c r="M56" s="1">
        <v>1.5435133000000001E-6</v>
      </c>
      <c r="N56">
        <v>4.0574455</v>
      </c>
    </row>
    <row r="57" spans="1:14" x14ac:dyDescent="0.3">
      <c r="A57" s="1">
        <v>1.5720970000000001E-6</v>
      </c>
      <c r="B57">
        <v>0.58916690000000005</v>
      </c>
      <c r="D57" s="1">
        <v>1.5720970000000001E-6</v>
      </c>
      <c r="E57">
        <v>0.58694005000000005</v>
      </c>
      <c r="G57" s="1">
        <v>1.5720970000000001E-6</v>
      </c>
      <c r="H57">
        <v>0.60596519999999998</v>
      </c>
      <c r="J57" s="1">
        <v>1.5720970000000001E-6</v>
      </c>
      <c r="K57">
        <v>1.4227703</v>
      </c>
      <c r="M57" s="1">
        <v>1.5720970000000001E-6</v>
      </c>
      <c r="N57">
        <v>4.0574469999999998</v>
      </c>
    </row>
    <row r="58" spans="1:14" x14ac:dyDescent="0.3">
      <c r="A58" s="1">
        <v>1.6006805E-6</v>
      </c>
      <c r="B58">
        <v>0.59038495999999996</v>
      </c>
      <c r="D58" s="1">
        <v>1.6006805E-6</v>
      </c>
      <c r="E58">
        <v>0.5879915</v>
      </c>
      <c r="G58" s="1">
        <v>1.6006805E-6</v>
      </c>
      <c r="H58">
        <v>0.60695743999999996</v>
      </c>
      <c r="J58" s="1">
        <v>1.6006805E-6</v>
      </c>
      <c r="K58">
        <v>1.4228547</v>
      </c>
      <c r="M58" s="1">
        <v>1.6006805E-6</v>
      </c>
      <c r="N58">
        <v>4.0574484000000002</v>
      </c>
    </row>
    <row r="59" spans="1:14" x14ac:dyDescent="0.3">
      <c r="A59" s="1">
        <v>1.6292641E-6</v>
      </c>
      <c r="B59">
        <v>0.59158873999999995</v>
      </c>
      <c r="D59" s="1">
        <v>1.6292641E-6</v>
      </c>
      <c r="E59">
        <v>0.58900017000000005</v>
      </c>
      <c r="G59" s="1">
        <v>1.6292641E-6</v>
      </c>
      <c r="H59">
        <v>0.60801850000000002</v>
      </c>
      <c r="J59" s="1">
        <v>1.6292641E-6</v>
      </c>
      <c r="K59">
        <v>1.4229392000000001</v>
      </c>
      <c r="M59" s="1">
        <v>1.6292641E-6</v>
      </c>
      <c r="N59">
        <v>4.0574500000000002</v>
      </c>
    </row>
    <row r="60" spans="1:14" x14ac:dyDescent="0.3">
      <c r="A60" s="1">
        <v>1.6578477000000001E-6</v>
      </c>
      <c r="B60">
        <v>0.5927789</v>
      </c>
      <c r="D60" s="1">
        <v>1.6578477000000001E-6</v>
      </c>
      <c r="E60">
        <v>0.59000885000000003</v>
      </c>
      <c r="G60" s="1">
        <v>1.6578477000000001E-6</v>
      </c>
      <c r="H60">
        <v>0.60907507000000005</v>
      </c>
      <c r="J60" s="1">
        <v>1.6578477000000001E-6</v>
      </c>
      <c r="K60">
        <v>1.4230236000000001</v>
      </c>
      <c r="M60" s="1">
        <v>1.6578477000000001E-6</v>
      </c>
      <c r="N60">
        <v>4.0574512</v>
      </c>
    </row>
    <row r="61" spans="1:14" x14ac:dyDescent="0.3">
      <c r="A61" s="1">
        <v>1.6864313000000001E-6</v>
      </c>
      <c r="B61">
        <v>0.5939567</v>
      </c>
      <c r="D61" s="1">
        <v>1.6864313000000001E-6</v>
      </c>
      <c r="E61">
        <v>0.59101760000000003</v>
      </c>
      <c r="G61" s="1">
        <v>1.6864313000000001E-6</v>
      </c>
      <c r="H61">
        <v>0.61012703000000001</v>
      </c>
      <c r="J61" s="1">
        <v>1.6864313000000001E-6</v>
      </c>
      <c r="K61">
        <v>1.423108</v>
      </c>
      <c r="M61" s="1">
        <v>1.6864313000000001E-6</v>
      </c>
      <c r="N61">
        <v>4.0574519999999996</v>
      </c>
    </row>
    <row r="62" spans="1:14" x14ac:dyDescent="0.3">
      <c r="A62" s="1">
        <v>1.7150148E-6</v>
      </c>
      <c r="B62">
        <v>0.59512200000000004</v>
      </c>
      <c r="D62" s="1">
        <v>1.7150148E-6</v>
      </c>
      <c r="E62">
        <v>0.59202630000000001</v>
      </c>
      <c r="G62" s="1">
        <v>1.7150148E-6</v>
      </c>
      <c r="H62">
        <v>0.61117445999999997</v>
      </c>
      <c r="J62" s="1">
        <v>1.7150148E-6</v>
      </c>
      <c r="K62">
        <v>1.4231925000000001</v>
      </c>
      <c r="M62" s="1">
        <v>1.7150148E-6</v>
      </c>
      <c r="N62">
        <v>4.0574535999999997</v>
      </c>
    </row>
    <row r="63" spans="1:14" x14ac:dyDescent="0.3">
      <c r="D63" s="1">
        <v>1.7150148E-6</v>
      </c>
      <c r="E63">
        <v>0.59202630000000001</v>
      </c>
      <c r="G63" s="1">
        <v>1.7150148E-6</v>
      </c>
      <c r="H63">
        <v>0.61117445999999997</v>
      </c>
      <c r="J63" s="1">
        <v>1.7150148E-6</v>
      </c>
      <c r="K63">
        <v>1.4231925000000001</v>
      </c>
      <c r="M63" s="1">
        <v>1.7150148E-6</v>
      </c>
      <c r="N63">
        <v>4.0574535999999997</v>
      </c>
    </row>
    <row r="64" spans="1:14" x14ac:dyDescent="0.3">
      <c r="D64" s="1">
        <v>3.4300296999999999E-6</v>
      </c>
      <c r="E64">
        <v>0.64623094000000003</v>
      </c>
      <c r="G64" s="1">
        <v>3.4300296999999999E-6</v>
      </c>
      <c r="H64">
        <v>0.66374029999999995</v>
      </c>
      <c r="J64" s="1">
        <v>3.4300296999999999E-6</v>
      </c>
      <c r="K64">
        <v>1.4282178000000001</v>
      </c>
      <c r="M64" s="1">
        <v>3.4300296999999999E-6</v>
      </c>
      <c r="N64">
        <v>4.0575349999999997</v>
      </c>
    </row>
    <row r="65" spans="4:14" x14ac:dyDescent="0.3">
      <c r="D65" s="1">
        <v>5.1450446999999998E-6</v>
      </c>
      <c r="E65">
        <v>0.68467999999999996</v>
      </c>
      <c r="G65" s="1">
        <v>5.1450446999999998E-6</v>
      </c>
      <c r="H65">
        <v>0.69794624999999999</v>
      </c>
      <c r="J65" s="1">
        <v>5.1450446999999998E-6</v>
      </c>
      <c r="K65">
        <v>1.4331430000000001</v>
      </c>
      <c r="M65" s="1">
        <v>5.1450446999999998E-6</v>
      </c>
      <c r="N65">
        <v>4.0576166999999996</v>
      </c>
    </row>
    <row r="66" spans="4:14" x14ac:dyDescent="0.3">
      <c r="D66" s="1">
        <v>6.8600592999999999E-6</v>
      </c>
      <c r="E66">
        <v>0.71638369999999996</v>
      </c>
      <c r="G66" s="1">
        <v>6.8600592999999999E-6</v>
      </c>
      <c r="H66">
        <v>0.72685549999999999</v>
      </c>
      <c r="J66" s="1">
        <v>6.8600592999999999E-6</v>
      </c>
      <c r="K66">
        <v>1.4380313</v>
      </c>
      <c r="M66" s="1">
        <v>6.8600592999999999E-6</v>
      </c>
      <c r="N66">
        <v>4.0576981999999999</v>
      </c>
    </row>
    <row r="67" spans="4:14" x14ac:dyDescent="0.3">
      <c r="D67" s="1">
        <v>8.5750740000000008E-6</v>
      </c>
      <c r="E67">
        <v>0.74122363000000002</v>
      </c>
      <c r="G67" s="1">
        <v>8.5750740000000008E-6</v>
      </c>
      <c r="H67">
        <v>0.75122109999999997</v>
      </c>
      <c r="J67" s="1">
        <v>8.5750740000000008E-6</v>
      </c>
      <c r="K67">
        <v>1.4428504</v>
      </c>
      <c r="M67" s="1">
        <v>8.5750740000000008E-6</v>
      </c>
      <c r="N67">
        <v>4.0577800000000002</v>
      </c>
    </row>
    <row r="68" spans="4:14" x14ac:dyDescent="0.3">
      <c r="D68" s="1">
        <v>1.0290089E-5</v>
      </c>
      <c r="E68">
        <v>0.76555669999999998</v>
      </c>
      <c r="G68" s="1">
        <v>1.0290089E-5</v>
      </c>
      <c r="H68">
        <v>0.7737851</v>
      </c>
      <c r="J68" s="1">
        <v>1.0290089E-5</v>
      </c>
      <c r="K68">
        <v>1.4476149</v>
      </c>
      <c r="M68" s="1">
        <v>1.0290089E-5</v>
      </c>
      <c r="N68">
        <v>4.0578612999999999</v>
      </c>
    </row>
    <row r="69" spans="4:14" x14ac:dyDescent="0.3">
      <c r="D69" s="1">
        <v>1.20051045E-5</v>
      </c>
      <c r="E69">
        <v>0.78630566999999996</v>
      </c>
      <c r="G69" s="1">
        <v>1.20051045E-5</v>
      </c>
      <c r="H69">
        <v>0.79431790000000002</v>
      </c>
      <c r="J69" s="1">
        <v>1.20051045E-5</v>
      </c>
      <c r="K69">
        <v>1.4523235999999999</v>
      </c>
      <c r="M69" s="1">
        <v>1.20051045E-5</v>
      </c>
      <c r="N69">
        <v>4.0579429999999999</v>
      </c>
    </row>
    <row r="70" spans="4:14" x14ac:dyDescent="0.3">
      <c r="D70" s="1">
        <v>1.3720119E-5</v>
      </c>
      <c r="E70">
        <v>0.80631673000000004</v>
      </c>
      <c r="G70" s="1">
        <v>1.3720119E-5</v>
      </c>
      <c r="H70">
        <v>0.81219560000000002</v>
      </c>
      <c r="J70" s="1">
        <v>1.3720119E-5</v>
      </c>
      <c r="K70">
        <v>1.4569677000000001</v>
      </c>
      <c r="M70" s="1">
        <v>1.3720119E-5</v>
      </c>
      <c r="N70">
        <v>4.0580243999999999</v>
      </c>
    </row>
    <row r="71" spans="4:14" x14ac:dyDescent="0.3">
      <c r="D71" s="1">
        <v>1.5435135E-5</v>
      </c>
      <c r="E71">
        <v>0.82426774999999997</v>
      </c>
      <c r="G71" s="1">
        <v>1.5435135E-5</v>
      </c>
      <c r="H71">
        <v>0.82849216000000003</v>
      </c>
      <c r="J71" s="1">
        <v>1.5435135E-5</v>
      </c>
      <c r="K71">
        <v>1.4615484000000001</v>
      </c>
      <c r="M71" s="1">
        <v>1.5435135E-5</v>
      </c>
      <c r="N71">
        <v>4.0581060000000004</v>
      </c>
    </row>
    <row r="72" spans="4:14" x14ac:dyDescent="0.3">
      <c r="D72" s="1">
        <v>1.7150149000000001E-5</v>
      </c>
      <c r="E72">
        <v>0.84145135000000004</v>
      </c>
      <c r="G72" s="1">
        <v>1.7150149000000001E-5</v>
      </c>
      <c r="H72">
        <v>0.84478872999999999</v>
      </c>
      <c r="J72" s="1">
        <v>1.7150149000000001E-5</v>
      </c>
      <c r="K72">
        <v>1.4660637000000001</v>
      </c>
      <c r="M72" s="1">
        <v>1.7150149000000001E-5</v>
      </c>
      <c r="N72">
        <v>4.0581874999999998</v>
      </c>
    </row>
    <row r="73" spans="4:14" x14ac:dyDescent="0.3">
      <c r="D73" s="1">
        <v>1.8865162999999999E-5</v>
      </c>
      <c r="E73">
        <v>0.85663330000000004</v>
      </c>
      <c r="G73" s="1">
        <v>1.8865162999999999E-5</v>
      </c>
      <c r="H73">
        <v>0.86108523999999997</v>
      </c>
      <c r="J73" s="1">
        <v>1.8865162999999999E-5</v>
      </c>
      <c r="K73">
        <v>1.4705113999999999</v>
      </c>
      <c r="M73" s="1">
        <v>1.8865162999999999E-5</v>
      </c>
      <c r="N73">
        <v>4.0582690000000001</v>
      </c>
    </row>
    <row r="74" spans="4:14" x14ac:dyDescent="0.3">
      <c r="D74" s="1">
        <v>2.0580178999999999E-5</v>
      </c>
      <c r="E74">
        <v>0.87062919999999999</v>
      </c>
      <c r="G74" s="1">
        <v>2.0580178999999999E-5</v>
      </c>
      <c r="H74">
        <v>0.87493909999999997</v>
      </c>
      <c r="J74" s="1">
        <v>2.0580178999999999E-5</v>
      </c>
      <c r="K74">
        <v>1.4748892</v>
      </c>
      <c r="M74" s="1">
        <v>2.0580178999999999E-5</v>
      </c>
      <c r="N74">
        <v>4.0583505999999998</v>
      </c>
    </row>
    <row r="75" spans="4:14" x14ac:dyDescent="0.3">
      <c r="D75" s="1">
        <v>2.2295193E-5</v>
      </c>
      <c r="E75">
        <v>0.88462510000000005</v>
      </c>
      <c r="G75" s="1">
        <v>2.2295193E-5</v>
      </c>
      <c r="H75">
        <v>0.88863740000000002</v>
      </c>
      <c r="J75" s="1">
        <v>2.2295193E-5</v>
      </c>
      <c r="K75">
        <v>1.4791949</v>
      </c>
      <c r="M75" s="1">
        <v>2.2295193E-5</v>
      </c>
      <c r="N75">
        <v>4.0584319999999998</v>
      </c>
    </row>
    <row r="76" spans="4:14" x14ac:dyDescent="0.3">
      <c r="D76" s="1">
        <v>2.4010209000000001E-5</v>
      </c>
      <c r="E76">
        <v>0.89862096000000002</v>
      </c>
      <c r="G76" s="1">
        <v>2.4010209000000001E-5</v>
      </c>
      <c r="H76">
        <v>0.90233576000000004</v>
      </c>
      <c r="J76" s="1">
        <v>2.4010209000000001E-5</v>
      </c>
      <c r="K76">
        <v>1.4834708000000001</v>
      </c>
      <c r="M76" s="1">
        <v>2.4010209000000001E-5</v>
      </c>
      <c r="N76">
        <v>4.0585136000000004</v>
      </c>
    </row>
    <row r="77" spans="4:14" x14ac:dyDescent="0.3">
      <c r="D77" s="1">
        <v>2.5725222999999999E-5</v>
      </c>
      <c r="E77">
        <v>0.91175585999999997</v>
      </c>
      <c r="G77" s="1">
        <v>2.5725222999999999E-5</v>
      </c>
      <c r="H77">
        <v>0.91559243000000001</v>
      </c>
      <c r="J77" s="1">
        <v>2.5725222999999999E-5</v>
      </c>
      <c r="K77">
        <v>1.4877739000000001</v>
      </c>
      <c r="M77" s="1">
        <v>2.5725222999999999E-5</v>
      </c>
      <c r="N77">
        <v>4.0585950000000004</v>
      </c>
    </row>
    <row r="78" spans="4:14" x14ac:dyDescent="0.3">
      <c r="D78" s="1">
        <v>2.7440237E-5</v>
      </c>
      <c r="E78">
        <v>0.92373335000000001</v>
      </c>
      <c r="G78" s="1">
        <v>2.7440237E-5</v>
      </c>
      <c r="H78">
        <v>0.92754864999999997</v>
      </c>
      <c r="J78" s="1">
        <v>2.7440237E-5</v>
      </c>
      <c r="K78">
        <v>1.4920397999999999</v>
      </c>
      <c r="M78" s="1">
        <v>2.7440237E-5</v>
      </c>
      <c r="N78">
        <v>4.0586767000000004</v>
      </c>
    </row>
    <row r="79" spans="4:14" x14ac:dyDescent="0.3">
      <c r="D79" s="1">
        <v>2.9155253E-5</v>
      </c>
      <c r="E79">
        <v>0.93571084999999998</v>
      </c>
      <c r="G79" s="1">
        <v>2.9155253E-5</v>
      </c>
      <c r="H79">
        <v>0.93950486</v>
      </c>
      <c r="J79" s="1">
        <v>2.9155253E-5</v>
      </c>
      <c r="K79">
        <v>1.4962685</v>
      </c>
      <c r="M79" s="1">
        <v>2.9155253E-5</v>
      </c>
      <c r="N79">
        <v>4.0587583</v>
      </c>
    </row>
    <row r="80" spans="4:14" x14ac:dyDescent="0.3">
      <c r="D80" s="1">
        <v>3.0870269999999999E-5</v>
      </c>
      <c r="E80">
        <v>0.94768834000000002</v>
      </c>
      <c r="G80" s="1">
        <v>3.0870269999999999E-5</v>
      </c>
      <c r="H80">
        <v>0.95146109999999995</v>
      </c>
      <c r="J80" s="1">
        <v>3.0870269999999999E-5</v>
      </c>
      <c r="K80">
        <v>1.5004599000000001</v>
      </c>
      <c r="M80" s="1">
        <v>3.0870269999999999E-5</v>
      </c>
      <c r="N80">
        <v>4.05884</v>
      </c>
    </row>
    <row r="81" spans="4:14" x14ac:dyDescent="0.3">
      <c r="D81" s="1">
        <v>3.258528E-5</v>
      </c>
      <c r="E81">
        <v>0.95935093999999999</v>
      </c>
      <c r="G81" s="1">
        <v>3.258528E-5</v>
      </c>
      <c r="H81">
        <v>0.96311957000000004</v>
      </c>
      <c r="J81" s="1">
        <v>3.258528E-5</v>
      </c>
      <c r="K81">
        <v>1.5046141</v>
      </c>
      <c r="M81" s="1">
        <v>3.258528E-5</v>
      </c>
      <c r="N81">
        <v>4.0589212999999997</v>
      </c>
    </row>
    <row r="82" spans="4:14" x14ac:dyDescent="0.3">
      <c r="D82" s="1">
        <v>3.4300298000000002E-5</v>
      </c>
      <c r="E82">
        <v>0.96993039999999997</v>
      </c>
      <c r="G82" s="1">
        <v>3.4300298000000002E-5</v>
      </c>
      <c r="H82">
        <v>0.97435724999999995</v>
      </c>
      <c r="J82" s="1">
        <v>3.4300298000000002E-5</v>
      </c>
      <c r="K82">
        <v>1.508731</v>
      </c>
      <c r="M82" s="1">
        <v>3.4300298000000002E-5</v>
      </c>
      <c r="N82">
        <v>4.0590029999999997</v>
      </c>
    </row>
    <row r="83" spans="4:14" x14ac:dyDescent="0.3">
      <c r="D83" s="1">
        <v>3.6015313999999999E-5</v>
      </c>
      <c r="E83">
        <v>0.98050990000000005</v>
      </c>
      <c r="G83" s="1">
        <v>3.6015313999999999E-5</v>
      </c>
      <c r="H83">
        <v>0.985348</v>
      </c>
      <c r="J83" s="1">
        <v>3.6015313999999999E-5</v>
      </c>
      <c r="K83">
        <v>1.5128107</v>
      </c>
      <c r="M83" s="1">
        <v>3.6015313999999999E-5</v>
      </c>
      <c r="N83">
        <v>4.0590843999999997</v>
      </c>
    </row>
    <row r="84" spans="4:14" x14ac:dyDescent="0.3">
      <c r="D84" s="1">
        <v>3.7730325999999998E-5</v>
      </c>
      <c r="E84">
        <v>0.99108934000000004</v>
      </c>
      <c r="G84" s="1">
        <v>3.7730325999999998E-5</v>
      </c>
      <c r="H84">
        <v>0.99609183999999995</v>
      </c>
      <c r="J84" s="1">
        <v>3.7730325999999998E-5</v>
      </c>
      <c r="K84">
        <v>1.5168531999999999</v>
      </c>
      <c r="M84" s="1">
        <v>3.7730325999999998E-5</v>
      </c>
      <c r="N84">
        <v>4.0591654999999998</v>
      </c>
    </row>
    <row r="85" spans="4:14" x14ac:dyDescent="0.3">
      <c r="D85" s="1">
        <v>3.9445342000000002E-5</v>
      </c>
      <c r="E85">
        <v>1.0016596</v>
      </c>
      <c r="G85" s="1">
        <v>3.9445342000000002E-5</v>
      </c>
      <c r="H85">
        <v>1.0065888000000001</v>
      </c>
      <c r="J85" s="1">
        <v>3.9445342000000002E-5</v>
      </c>
      <c r="K85">
        <v>1.5208584000000001</v>
      </c>
      <c r="M85" s="1">
        <v>3.9445342000000002E-5</v>
      </c>
      <c r="N85">
        <v>4.059247</v>
      </c>
    </row>
    <row r="86" spans="4:14" x14ac:dyDescent="0.3">
      <c r="D86" s="1">
        <v>4.1160357999999998E-5</v>
      </c>
      <c r="E86">
        <v>1.0117643999999999</v>
      </c>
      <c r="G86" s="1">
        <v>4.1160357999999998E-5</v>
      </c>
      <c r="H86">
        <v>1.0168387999999999</v>
      </c>
      <c r="J86" s="1">
        <v>4.1160357999999998E-5</v>
      </c>
      <c r="K86">
        <v>1.5248264</v>
      </c>
      <c r="M86" s="1">
        <v>4.1160357999999998E-5</v>
      </c>
      <c r="N86">
        <v>4.0593285999999997</v>
      </c>
    </row>
    <row r="87" spans="4:14" x14ac:dyDescent="0.3">
      <c r="D87" s="1">
        <v>4.2875374000000002E-5</v>
      </c>
      <c r="E87">
        <v>1.0216882</v>
      </c>
      <c r="G87" s="1">
        <v>4.2875374000000002E-5</v>
      </c>
      <c r="H87">
        <v>1.0268419</v>
      </c>
      <c r="J87" s="1">
        <v>4.2875374000000002E-5</v>
      </c>
      <c r="K87">
        <v>1.5287572</v>
      </c>
      <c r="M87" s="1">
        <v>4.2875374000000002E-5</v>
      </c>
      <c r="N87">
        <v>4.0594099999999997</v>
      </c>
    </row>
    <row r="88" spans="4:14" x14ac:dyDescent="0.3">
      <c r="D88" s="1">
        <v>4.4590386000000001E-5</v>
      </c>
      <c r="E88">
        <v>1.0314312000000001</v>
      </c>
      <c r="G88" s="1">
        <v>4.4590386000000001E-5</v>
      </c>
      <c r="H88">
        <v>1.0366112000000001</v>
      </c>
      <c r="J88" s="1">
        <v>4.4590386000000001E-5</v>
      </c>
      <c r="K88">
        <v>1.5326507</v>
      </c>
      <c r="M88" s="1">
        <v>4.4590386000000001E-5</v>
      </c>
      <c r="N88">
        <v>4.0594916000000003</v>
      </c>
    </row>
    <row r="89" spans="4:14" x14ac:dyDescent="0.3">
      <c r="D89" s="1">
        <v>4.6305401999999998E-5</v>
      </c>
      <c r="E89">
        <v>1.0409933</v>
      </c>
      <c r="G89" s="1">
        <v>4.6305401999999998E-5</v>
      </c>
      <c r="H89">
        <v>1.0461990000000001</v>
      </c>
      <c r="J89" s="1">
        <v>4.6305401999999998E-5</v>
      </c>
      <c r="K89">
        <v>1.5365070000000001</v>
      </c>
      <c r="M89" s="1">
        <v>4.6305401999999998E-5</v>
      </c>
      <c r="N89">
        <v>4.0595730000000003</v>
      </c>
    </row>
    <row r="90" spans="4:14" x14ac:dyDescent="0.3">
      <c r="D90" s="1">
        <v>4.8020418000000001E-5</v>
      </c>
      <c r="E90">
        <v>1.0503745</v>
      </c>
      <c r="G90" s="1">
        <v>4.8020418000000001E-5</v>
      </c>
      <c r="H90">
        <v>1.0555576</v>
      </c>
      <c r="J90" s="1">
        <v>4.8020418000000001E-5</v>
      </c>
      <c r="K90">
        <v>1.5403462999999999</v>
      </c>
      <c r="M90" s="1">
        <v>4.8020418000000001E-5</v>
      </c>
      <c r="N90">
        <v>4.0596547000000003</v>
      </c>
    </row>
    <row r="91" spans="4:14" x14ac:dyDescent="0.3">
      <c r="D91" s="1">
        <v>4.973543E-5</v>
      </c>
      <c r="E91">
        <v>1.0595745000000001</v>
      </c>
      <c r="G91" s="1">
        <v>4.973543E-5</v>
      </c>
      <c r="H91">
        <v>1.0646872999999999</v>
      </c>
      <c r="J91" s="1">
        <v>4.973543E-5</v>
      </c>
      <c r="K91">
        <v>1.5441590000000001</v>
      </c>
      <c r="M91" s="1">
        <v>4.973543E-5</v>
      </c>
      <c r="N91">
        <v>4.0597363</v>
      </c>
    </row>
    <row r="92" spans="4:14" x14ac:dyDescent="0.3">
      <c r="D92" s="1">
        <v>5.1450445999999997E-5</v>
      </c>
      <c r="E92">
        <v>1.0685750000000001</v>
      </c>
      <c r="G92" s="1">
        <v>5.1450445999999997E-5</v>
      </c>
      <c r="H92">
        <v>1.0735878000000001</v>
      </c>
      <c r="J92" s="1">
        <v>5.1450445999999997E-5</v>
      </c>
      <c r="K92">
        <v>1.5479385000000001</v>
      </c>
      <c r="M92" s="1">
        <v>5.1450445999999997E-5</v>
      </c>
      <c r="N92">
        <v>4.0598179999999999</v>
      </c>
    </row>
    <row r="93" spans="4:14" x14ac:dyDescent="0.3">
      <c r="D93" s="1">
        <v>5.3165462000000001E-5</v>
      </c>
      <c r="E93">
        <v>1.0773892</v>
      </c>
      <c r="G93" s="1">
        <v>5.3165462000000001E-5</v>
      </c>
      <c r="H93">
        <v>1.0822594000000001</v>
      </c>
      <c r="J93" s="1">
        <v>5.3165462000000001E-5</v>
      </c>
      <c r="K93">
        <v>1.5516844999999999</v>
      </c>
      <c r="M93" s="1">
        <v>5.3165462000000001E-5</v>
      </c>
      <c r="N93">
        <v>4.0598992999999997</v>
      </c>
    </row>
    <row r="94" spans="4:14" x14ac:dyDescent="0.3">
      <c r="D94" s="1">
        <v>5.4880475000000002E-5</v>
      </c>
      <c r="E94">
        <v>1.0860174</v>
      </c>
      <c r="G94" s="1">
        <v>5.4880475000000002E-5</v>
      </c>
      <c r="H94">
        <v>1.0907020000000001</v>
      </c>
      <c r="J94" s="1">
        <v>5.4880475000000002E-5</v>
      </c>
      <c r="K94">
        <v>1.5553972</v>
      </c>
      <c r="M94" s="1">
        <v>5.4880475000000002E-5</v>
      </c>
      <c r="N94">
        <v>4.0599809999999996</v>
      </c>
    </row>
    <row r="95" spans="4:14" x14ac:dyDescent="0.3">
      <c r="D95" s="1">
        <v>5.6595490000000003E-5</v>
      </c>
      <c r="E95">
        <v>1.0944592</v>
      </c>
      <c r="G95" s="1">
        <v>5.6595490000000003E-5</v>
      </c>
      <c r="H95">
        <v>1.0989156</v>
      </c>
      <c r="J95" s="1">
        <v>5.6595490000000003E-5</v>
      </c>
      <c r="K95">
        <v>1.5590763999999999</v>
      </c>
      <c r="M95" s="1">
        <v>5.6595490000000003E-5</v>
      </c>
      <c r="N95">
        <v>4.0600623999999996</v>
      </c>
    </row>
    <row r="96" spans="4:14" x14ac:dyDescent="0.3">
      <c r="D96" s="1">
        <v>5.8310507000000003E-5</v>
      </c>
      <c r="E96">
        <v>1.1027146999999999</v>
      </c>
      <c r="G96" s="1">
        <v>5.8310507000000003E-5</v>
      </c>
      <c r="H96">
        <v>1.1072191</v>
      </c>
      <c r="J96" s="1">
        <v>5.8310507000000003E-5</v>
      </c>
      <c r="K96">
        <v>1.5627222999999999</v>
      </c>
      <c r="M96" s="1">
        <v>5.8310507000000003E-5</v>
      </c>
      <c r="N96">
        <v>4.0601440000000002</v>
      </c>
    </row>
    <row r="97" spans="4:14" x14ac:dyDescent="0.3">
      <c r="D97" s="1">
        <v>6.0025522999999999E-5</v>
      </c>
      <c r="E97">
        <v>1.1107868000000001</v>
      </c>
      <c r="G97" s="1">
        <v>6.0025522999999999E-5</v>
      </c>
      <c r="H97">
        <v>1.1154497999999999</v>
      </c>
      <c r="J97" s="1">
        <v>6.0025522999999999E-5</v>
      </c>
      <c r="K97">
        <v>1.5663347999999999</v>
      </c>
      <c r="M97" s="1">
        <v>6.0025522999999999E-5</v>
      </c>
      <c r="N97">
        <v>4.0602254999999996</v>
      </c>
    </row>
    <row r="98" spans="4:14" x14ac:dyDescent="0.3">
      <c r="D98" s="1">
        <v>6.1740539999999999E-5</v>
      </c>
      <c r="E98">
        <v>1.1188047999999999</v>
      </c>
      <c r="G98" s="1">
        <v>6.1740539999999999E-5</v>
      </c>
      <c r="H98">
        <v>1.1235463999999999</v>
      </c>
      <c r="J98" s="1">
        <v>6.1740539999999999E-5</v>
      </c>
      <c r="K98">
        <v>1.5699139</v>
      </c>
      <c r="M98" s="1">
        <v>6.1740539999999999E-5</v>
      </c>
      <c r="N98">
        <v>4.0603069999999999</v>
      </c>
    </row>
    <row r="99" spans="4:14" x14ac:dyDescent="0.3">
      <c r="D99" s="1">
        <v>6.3455550000000006E-5</v>
      </c>
      <c r="E99">
        <v>1.1266748</v>
      </c>
      <c r="G99" s="1">
        <v>6.3455550000000006E-5</v>
      </c>
      <c r="H99">
        <v>1.1315090000000001</v>
      </c>
      <c r="J99" s="1">
        <v>6.3455550000000006E-5</v>
      </c>
      <c r="K99">
        <v>1.5734596000000001</v>
      </c>
      <c r="M99" s="1">
        <v>6.3455550000000006E-5</v>
      </c>
      <c r="N99">
        <v>4.0603885999999996</v>
      </c>
    </row>
    <row r="100" spans="4:14" x14ac:dyDescent="0.3">
      <c r="D100" s="1">
        <v>6.517056E-5</v>
      </c>
      <c r="E100">
        <v>1.1343969</v>
      </c>
      <c r="G100" s="1">
        <v>6.517056E-5</v>
      </c>
      <c r="H100">
        <v>1.1393373</v>
      </c>
      <c r="J100" s="1">
        <v>6.517056E-5</v>
      </c>
      <c r="K100">
        <v>1.576972</v>
      </c>
      <c r="M100" s="1">
        <v>6.517056E-5</v>
      </c>
      <c r="N100">
        <v>4.0604699999999996</v>
      </c>
    </row>
    <row r="101" spans="4:14" x14ac:dyDescent="0.3">
      <c r="D101" s="1">
        <v>6.6885579999999994E-5</v>
      </c>
      <c r="E101">
        <v>1.1419710999999999</v>
      </c>
      <c r="G101" s="1">
        <v>6.6885579999999994E-5</v>
      </c>
      <c r="H101">
        <v>1.1470315</v>
      </c>
      <c r="J101" s="1">
        <v>6.6885579999999994E-5</v>
      </c>
      <c r="K101">
        <v>1.5804509</v>
      </c>
      <c r="M101" s="1">
        <v>6.6885579999999994E-5</v>
      </c>
      <c r="N101">
        <v>4.0605516000000001</v>
      </c>
    </row>
    <row r="102" spans="4:14" x14ac:dyDescent="0.3">
      <c r="D102" s="1">
        <v>6.8600594999999995E-5</v>
      </c>
      <c r="E102">
        <v>1.1493974</v>
      </c>
      <c r="G102" s="1">
        <v>6.8600594999999995E-5</v>
      </c>
      <c r="H102">
        <v>1.1545917000000001</v>
      </c>
      <c r="J102" s="1">
        <v>6.8600594999999995E-5</v>
      </c>
      <c r="K102">
        <v>1.5838964</v>
      </c>
      <c r="M102" s="1">
        <v>6.8600594999999995E-5</v>
      </c>
      <c r="N102">
        <v>4.0606330000000002</v>
      </c>
    </row>
    <row r="103" spans="4:14" x14ac:dyDescent="0.3">
      <c r="D103" s="1">
        <v>7.0315609999999995E-5</v>
      </c>
      <c r="E103">
        <v>1.1566780000000001</v>
      </c>
      <c r="G103" s="1">
        <v>7.0315609999999995E-5</v>
      </c>
      <c r="H103">
        <v>1.1620177</v>
      </c>
      <c r="J103" s="1">
        <v>7.0315609999999995E-5</v>
      </c>
      <c r="K103">
        <v>1.5873162999999999</v>
      </c>
      <c r="M103" s="1">
        <v>7.0315609999999995E-5</v>
      </c>
      <c r="N103">
        <v>4.0607147000000001</v>
      </c>
    </row>
    <row r="104" spans="4:14" x14ac:dyDescent="0.3">
      <c r="D104" s="1">
        <v>7.2030630000000003E-5</v>
      </c>
      <c r="E104">
        <v>1.1639215999999999</v>
      </c>
      <c r="G104" s="1">
        <v>7.2030630000000003E-5</v>
      </c>
      <c r="H104">
        <v>1.1693096000000001</v>
      </c>
      <c r="J104" s="1">
        <v>7.2030630000000003E-5</v>
      </c>
      <c r="K104">
        <v>1.5907787</v>
      </c>
      <c r="M104" s="1">
        <v>7.2030630000000003E-5</v>
      </c>
      <c r="N104">
        <v>4.0607962999999998</v>
      </c>
    </row>
    <row r="105" spans="4:14" x14ac:dyDescent="0.3">
      <c r="D105" s="1">
        <v>7.3745639999999997E-5</v>
      </c>
      <c r="E105">
        <v>1.1710495999999999</v>
      </c>
      <c r="G105" s="1">
        <v>7.3745639999999997E-5</v>
      </c>
      <c r="H105">
        <v>1.1764673999999999</v>
      </c>
      <c r="J105" s="1">
        <v>7.3745639999999997E-5</v>
      </c>
      <c r="K105">
        <v>1.5942190999999999</v>
      </c>
      <c r="M105" s="1">
        <v>7.3745639999999997E-5</v>
      </c>
      <c r="N105">
        <v>4.0608779999999998</v>
      </c>
    </row>
    <row r="106" spans="4:14" x14ac:dyDescent="0.3">
      <c r="D106" s="1">
        <v>7.5460650000000004E-5</v>
      </c>
      <c r="E106">
        <v>1.1780617</v>
      </c>
      <c r="G106" s="1">
        <v>7.5460650000000004E-5</v>
      </c>
      <c r="H106">
        <v>1.1834910999999999</v>
      </c>
      <c r="J106" s="1">
        <v>7.5460650000000004E-5</v>
      </c>
      <c r="K106">
        <v>1.5976372999999999</v>
      </c>
      <c r="M106" s="1">
        <v>7.5460650000000004E-5</v>
      </c>
      <c r="N106">
        <v>4.0609593000000004</v>
      </c>
    </row>
    <row r="107" spans="4:14" x14ac:dyDescent="0.3">
      <c r="D107" s="1">
        <v>7.7175669999999998E-5</v>
      </c>
      <c r="E107">
        <v>1.1849581</v>
      </c>
      <c r="G107" s="1">
        <v>7.7175669999999998E-5</v>
      </c>
      <c r="H107">
        <v>1.1903807</v>
      </c>
      <c r="J107" s="1">
        <v>7.7175669999999998E-5</v>
      </c>
      <c r="K107">
        <v>1.6010333000000001</v>
      </c>
      <c r="M107" s="1">
        <v>7.7175669999999998E-5</v>
      </c>
      <c r="N107">
        <v>4.0610410000000003</v>
      </c>
    </row>
    <row r="108" spans="4:14" x14ac:dyDescent="0.3">
      <c r="D108" s="1">
        <v>7.8890684000000003E-5</v>
      </c>
      <c r="E108">
        <v>1.1917386000000001</v>
      </c>
      <c r="G108" s="1">
        <v>7.8890684000000003E-5</v>
      </c>
      <c r="H108">
        <v>1.1971362000000001</v>
      </c>
      <c r="J108" s="1">
        <v>7.8890684000000003E-5</v>
      </c>
      <c r="K108">
        <v>1.6044073999999999</v>
      </c>
      <c r="M108" s="1">
        <v>7.8890684000000003E-5</v>
      </c>
      <c r="N108">
        <v>4.0611224000000004</v>
      </c>
    </row>
    <row r="109" spans="4:14" x14ac:dyDescent="0.3">
      <c r="D109" s="1">
        <v>8.06057E-5</v>
      </c>
      <c r="E109">
        <v>1.1984051</v>
      </c>
      <c r="G109" s="1">
        <v>8.06057E-5</v>
      </c>
      <c r="H109">
        <v>1.2037575</v>
      </c>
      <c r="J109" s="1">
        <v>8.06057E-5</v>
      </c>
      <c r="K109">
        <v>1.6077592000000001</v>
      </c>
      <c r="M109" s="1">
        <v>8.06057E-5</v>
      </c>
      <c r="N109">
        <v>4.061204</v>
      </c>
    </row>
    <row r="110" spans="4:14" x14ac:dyDescent="0.3">
      <c r="D110" s="1">
        <v>8.2320715999999996E-5</v>
      </c>
      <c r="E110">
        <v>1.2050342999999999</v>
      </c>
      <c r="G110" s="1">
        <v>8.2320715999999996E-5</v>
      </c>
      <c r="H110">
        <v>1.2102653000000001</v>
      </c>
      <c r="J110" s="1">
        <v>8.2320715999999996E-5</v>
      </c>
      <c r="K110">
        <v>1.6110891000000001</v>
      </c>
      <c r="M110" s="1">
        <v>8.2320715999999996E-5</v>
      </c>
      <c r="N110">
        <v>4.0612849999999998</v>
      </c>
    </row>
    <row r="111" spans="4:14" x14ac:dyDescent="0.3">
      <c r="D111" s="1">
        <v>8.4035730000000001E-5</v>
      </c>
      <c r="E111">
        <v>1.2115704</v>
      </c>
      <c r="G111" s="1">
        <v>8.4035730000000001E-5</v>
      </c>
      <c r="H111">
        <v>1.2169148000000001</v>
      </c>
      <c r="J111" s="1">
        <v>8.4035730000000001E-5</v>
      </c>
      <c r="K111">
        <v>1.6143966999999999</v>
      </c>
      <c r="M111" s="1">
        <v>8.4035730000000001E-5</v>
      </c>
      <c r="N111">
        <v>4.0613666000000004</v>
      </c>
    </row>
    <row r="112" spans="4:14" x14ac:dyDescent="0.3">
      <c r="D112" s="1">
        <v>8.5750749999999995E-5</v>
      </c>
      <c r="E112">
        <v>1.2180134</v>
      </c>
      <c r="G112" s="1">
        <v>8.5750749999999995E-5</v>
      </c>
      <c r="H112">
        <v>1.2234676</v>
      </c>
      <c r="J112" s="1">
        <v>8.5750749999999995E-5</v>
      </c>
      <c r="K112">
        <v>1.6176823</v>
      </c>
      <c r="M112" s="1">
        <v>8.5750749999999995E-5</v>
      </c>
      <c r="N112">
        <v>4.0614480000000004</v>
      </c>
    </row>
    <row r="113" spans="4:14" x14ac:dyDescent="0.3">
      <c r="D113" s="1">
        <v>8.7465756000000005E-5</v>
      </c>
      <c r="E113">
        <v>1.2243634000000001</v>
      </c>
      <c r="G113" s="1">
        <v>8.7465756000000005E-5</v>
      </c>
      <c r="H113">
        <v>1.2299234999999999</v>
      </c>
      <c r="J113" s="1">
        <v>8.7465756000000005E-5</v>
      </c>
      <c r="K113">
        <v>1.6209458000000001</v>
      </c>
      <c r="M113" s="1">
        <v>8.7465756000000005E-5</v>
      </c>
      <c r="N113">
        <v>4.0615296000000001</v>
      </c>
    </row>
    <row r="114" spans="4:14" x14ac:dyDescent="0.3">
      <c r="D114" s="1">
        <v>8.9180769999999996E-5</v>
      </c>
      <c r="E114">
        <v>1.2306204000000001</v>
      </c>
      <c r="G114" s="1">
        <v>8.9180769999999996E-5</v>
      </c>
      <c r="H114">
        <v>1.2362827000000001</v>
      </c>
      <c r="J114" s="1">
        <v>8.9180769999999996E-5</v>
      </c>
      <c r="K114">
        <v>1.6241871000000001</v>
      </c>
      <c r="M114" s="1">
        <v>8.9180769999999996E-5</v>
      </c>
      <c r="N114">
        <v>4.0616110000000001</v>
      </c>
    </row>
    <row r="115" spans="4:14" x14ac:dyDescent="0.3">
      <c r="D115" s="1">
        <v>9.0895790000000004E-5</v>
      </c>
      <c r="E115">
        <v>1.2367855000000001</v>
      </c>
      <c r="G115" s="1">
        <v>9.0895790000000004E-5</v>
      </c>
      <c r="H115">
        <v>1.242545</v>
      </c>
      <c r="J115" s="1">
        <v>9.0895790000000004E-5</v>
      </c>
      <c r="K115">
        <v>1.6274063999999999</v>
      </c>
      <c r="M115" s="1">
        <v>9.0895790000000004E-5</v>
      </c>
      <c r="N115">
        <v>4.0616927</v>
      </c>
    </row>
    <row r="116" spans="4:14" x14ac:dyDescent="0.3">
      <c r="D116" s="1">
        <v>9.2610803999999995E-5</v>
      </c>
      <c r="E116">
        <v>1.2429140999999999</v>
      </c>
      <c r="G116" s="1">
        <v>9.2610803999999995E-5</v>
      </c>
      <c r="H116">
        <v>1.2487105000000001</v>
      </c>
      <c r="J116" s="1">
        <v>9.2610803999999995E-5</v>
      </c>
      <c r="K116">
        <v>1.6306035999999999</v>
      </c>
      <c r="M116" s="1">
        <v>9.2610803999999995E-5</v>
      </c>
      <c r="N116">
        <v>4.0617742999999997</v>
      </c>
    </row>
    <row r="117" spans="4:14" x14ac:dyDescent="0.3">
      <c r="D117" s="1">
        <v>9.4325820000000006E-5</v>
      </c>
      <c r="E117">
        <v>1.248966</v>
      </c>
      <c r="G117" s="1">
        <v>9.4325820000000006E-5</v>
      </c>
      <c r="H117">
        <v>1.2547792</v>
      </c>
      <c r="J117" s="1">
        <v>9.4325820000000006E-5</v>
      </c>
      <c r="K117">
        <v>1.6337786000000001</v>
      </c>
      <c r="M117" s="1">
        <v>9.4325820000000006E-5</v>
      </c>
      <c r="N117">
        <v>4.0618559999999997</v>
      </c>
    </row>
    <row r="118" spans="4:14" x14ac:dyDescent="0.3">
      <c r="D118" s="1">
        <v>9.6040836000000002E-5</v>
      </c>
      <c r="E118">
        <v>1.2549412</v>
      </c>
      <c r="G118" s="1">
        <v>9.6040836000000002E-5</v>
      </c>
      <c r="H118">
        <v>1.260751</v>
      </c>
      <c r="J118" s="1">
        <v>9.6040836000000002E-5</v>
      </c>
      <c r="K118">
        <v>1.6369315</v>
      </c>
      <c r="M118" s="1">
        <v>9.6040836000000002E-5</v>
      </c>
      <c r="N118">
        <v>4.0619373000000003</v>
      </c>
    </row>
    <row r="119" spans="4:14" x14ac:dyDescent="0.3">
      <c r="D119" s="1">
        <v>9.7755849999999993E-5</v>
      </c>
      <c r="E119">
        <v>1.2608398000000001</v>
      </c>
      <c r="G119" s="1">
        <v>9.7755849999999993E-5</v>
      </c>
      <c r="H119">
        <v>1.2666261000000001</v>
      </c>
      <c r="J119" s="1">
        <v>9.7755849999999993E-5</v>
      </c>
      <c r="K119">
        <v>1.6400623000000001</v>
      </c>
      <c r="M119" s="1">
        <v>9.7755849999999993E-5</v>
      </c>
      <c r="N119">
        <v>4.0620190000000003</v>
      </c>
    </row>
    <row r="120" spans="4:14" x14ac:dyDescent="0.3">
      <c r="D120" s="1">
        <v>9.9470860000000001E-5</v>
      </c>
      <c r="E120">
        <v>1.2666618000000001</v>
      </c>
      <c r="G120" s="1">
        <v>9.9470860000000001E-5</v>
      </c>
      <c r="H120">
        <v>1.2724044000000001</v>
      </c>
      <c r="J120" s="1">
        <v>9.9470860000000001E-5</v>
      </c>
      <c r="K120">
        <v>1.6431711</v>
      </c>
      <c r="M120" s="1">
        <v>9.9470860000000001E-5</v>
      </c>
      <c r="N120">
        <v>4.0621004000000003</v>
      </c>
    </row>
    <row r="121" spans="4:14" x14ac:dyDescent="0.3">
      <c r="D121" s="1">
        <v>1.0118587999999999E-4</v>
      </c>
      <c r="E121">
        <v>1.2724074000000001</v>
      </c>
      <c r="G121" s="1">
        <v>1.0118587999999999E-4</v>
      </c>
      <c r="H121">
        <v>1.2780857999999999</v>
      </c>
      <c r="J121" s="1">
        <v>1.0118587999999999E-4</v>
      </c>
      <c r="K121">
        <v>1.6462576</v>
      </c>
      <c r="M121" s="1">
        <v>1.0118587999999999E-4</v>
      </c>
      <c r="N121">
        <v>4.062182</v>
      </c>
    </row>
    <row r="122" spans="4:14" x14ac:dyDescent="0.3">
      <c r="D122" s="1">
        <v>1.0290089E-4</v>
      </c>
      <c r="E122">
        <v>1.2780967000000001</v>
      </c>
      <c r="G122" s="1">
        <v>1.0290089E-4</v>
      </c>
      <c r="H122">
        <v>1.2836704999999999</v>
      </c>
      <c r="J122" s="1">
        <v>1.0290089E-4</v>
      </c>
      <c r="K122">
        <v>1.6493222000000001</v>
      </c>
      <c r="M122" s="1">
        <v>1.0290089E-4</v>
      </c>
      <c r="N122">
        <v>4.0622635000000002</v>
      </c>
    </row>
    <row r="123" spans="4:14" x14ac:dyDescent="0.3">
      <c r="G123" s="1">
        <v>1.0290089E-4</v>
      </c>
      <c r="H123">
        <v>1.2836704999999999</v>
      </c>
      <c r="J123" s="1">
        <v>1.0290089E-4</v>
      </c>
      <c r="K123">
        <v>1.6493222000000001</v>
      </c>
      <c r="M123" s="1">
        <v>1.0290089E-4</v>
      </c>
      <c r="N123">
        <v>4.0622635000000002</v>
      </c>
    </row>
    <row r="124" spans="4:14" x14ac:dyDescent="0.3">
      <c r="G124" s="1">
        <v>2.0580178999999999E-4</v>
      </c>
      <c r="H124">
        <v>1.5433486999999999</v>
      </c>
      <c r="J124" s="1">
        <v>2.0580178999999999E-4</v>
      </c>
      <c r="K124">
        <v>1.8050466000000001</v>
      </c>
      <c r="M124" s="1">
        <v>2.0580178999999999E-4</v>
      </c>
      <c r="N124">
        <v>4.0670970000000004</v>
      </c>
    </row>
    <row r="125" spans="4:14" x14ac:dyDescent="0.3">
      <c r="G125" s="1">
        <v>3.0870266999999998E-4</v>
      </c>
      <c r="H125">
        <v>1.7195399</v>
      </c>
      <c r="J125" s="1">
        <v>3.0870266999999998E-4</v>
      </c>
      <c r="K125">
        <v>1.9233587000000001</v>
      </c>
      <c r="M125" s="1">
        <v>3.0870266999999998E-4</v>
      </c>
      <c r="N125">
        <v>4.0718836999999999</v>
      </c>
    </row>
    <row r="126" spans="4:14" x14ac:dyDescent="0.3">
      <c r="G126" s="1">
        <v>4.1160357000000002E-4</v>
      </c>
      <c r="H126">
        <v>1.854363</v>
      </c>
      <c r="J126" s="1">
        <v>4.1160357000000002E-4</v>
      </c>
      <c r="K126">
        <v>2.0186259999999998</v>
      </c>
      <c r="M126" s="1">
        <v>4.1160357000000002E-4</v>
      </c>
      <c r="N126">
        <v>4.0766144000000004</v>
      </c>
    </row>
    <row r="127" spans="4:14" x14ac:dyDescent="0.3">
      <c r="G127" s="1">
        <v>5.1450444000000002E-4</v>
      </c>
      <c r="H127">
        <v>1.9606551999999999</v>
      </c>
      <c r="J127" s="1">
        <v>5.1450444000000002E-4</v>
      </c>
      <c r="K127">
        <v>2.0989258</v>
      </c>
      <c r="M127" s="1">
        <v>5.1450444000000002E-4</v>
      </c>
      <c r="N127">
        <v>4.0813002999999997</v>
      </c>
    </row>
    <row r="128" spans="4:14" x14ac:dyDescent="0.3">
      <c r="G128" s="1">
        <v>6.1740533999999996E-4</v>
      </c>
      <c r="H128">
        <v>2.0488903999999999</v>
      </c>
      <c r="J128" s="1">
        <v>6.1740533999999996E-4</v>
      </c>
      <c r="K128">
        <v>2.1671714999999998</v>
      </c>
      <c r="M128" s="1">
        <v>6.1740533999999996E-4</v>
      </c>
      <c r="N128">
        <v>4.0859399999999999</v>
      </c>
    </row>
    <row r="129" spans="7:14" x14ac:dyDescent="0.3">
      <c r="G129" s="1">
        <v>7.2030624E-4</v>
      </c>
      <c r="H129">
        <v>2.1246125999999999</v>
      </c>
      <c r="J129" s="1">
        <v>7.2030624E-4</v>
      </c>
      <c r="K129">
        <v>2.229641</v>
      </c>
      <c r="M129" s="1">
        <v>7.2030624E-4</v>
      </c>
      <c r="N129">
        <v>4.0905284999999996</v>
      </c>
    </row>
    <row r="130" spans="7:14" x14ac:dyDescent="0.3">
      <c r="G130" s="1">
        <v>8.2320714000000004E-4</v>
      </c>
      <c r="H130">
        <v>2.191017</v>
      </c>
      <c r="J130" s="1">
        <v>8.2320714000000004E-4</v>
      </c>
      <c r="K130">
        <v>2.2858558000000002</v>
      </c>
      <c r="M130" s="1">
        <v>8.2320714000000004E-4</v>
      </c>
      <c r="N130">
        <v>4.095065</v>
      </c>
    </row>
    <row r="131" spans="7:14" x14ac:dyDescent="0.3">
      <c r="G131" s="1">
        <v>9.2610803999999998E-4</v>
      </c>
      <c r="H131">
        <v>2.2499365999999998</v>
      </c>
      <c r="J131" s="1">
        <v>9.2610803999999998E-4</v>
      </c>
      <c r="K131">
        <v>2.3365529999999999</v>
      </c>
      <c r="M131" s="1">
        <v>9.2610803999999998E-4</v>
      </c>
      <c r="N131">
        <v>4.0995489999999997</v>
      </c>
    </row>
    <row r="132" spans="7:14" x14ac:dyDescent="0.3">
      <c r="G132">
        <v>1.0290089E-3</v>
      </c>
      <c r="H132">
        <v>2.3026135000000001</v>
      </c>
      <c r="J132">
        <v>1.0290089E-3</v>
      </c>
      <c r="K132">
        <v>2.3827634</v>
      </c>
      <c r="M132">
        <v>1.0290089E-3</v>
      </c>
      <c r="N132">
        <v>4.1039776999999997</v>
      </c>
    </row>
    <row r="133" spans="7:14" x14ac:dyDescent="0.3">
      <c r="G133">
        <v>1.1319098E-3</v>
      </c>
      <c r="H133">
        <v>2.3501248000000001</v>
      </c>
      <c r="J133">
        <v>1.1319098E-3</v>
      </c>
      <c r="K133">
        <v>2.4256880000000001</v>
      </c>
      <c r="M133">
        <v>1.1319098E-3</v>
      </c>
      <c r="N133">
        <v>4.1083499999999997</v>
      </c>
    </row>
    <row r="134" spans="7:14" x14ac:dyDescent="0.3">
      <c r="G134">
        <v>1.2348107000000001E-3</v>
      </c>
      <c r="H134">
        <v>2.3933916000000002</v>
      </c>
      <c r="J134">
        <v>1.2348107000000001E-3</v>
      </c>
      <c r="K134">
        <v>2.4648175000000001</v>
      </c>
      <c r="M134">
        <v>1.2348107000000001E-3</v>
      </c>
      <c r="N134">
        <v>4.1127253000000001</v>
      </c>
    </row>
    <row r="135" spans="7:14" x14ac:dyDescent="0.3">
      <c r="G135">
        <v>1.3377116000000001E-3</v>
      </c>
      <c r="H135">
        <v>2.4333909999999999</v>
      </c>
      <c r="J135">
        <v>1.3377116000000001E-3</v>
      </c>
      <c r="K135">
        <v>2.5006732999999999</v>
      </c>
      <c r="M135">
        <v>1.3377116000000001E-3</v>
      </c>
      <c r="N135">
        <v>4.1170989999999996</v>
      </c>
    </row>
    <row r="136" spans="7:14" x14ac:dyDescent="0.3">
      <c r="G136">
        <v>1.4406124999999999E-3</v>
      </c>
      <c r="H136">
        <v>2.4702510000000002</v>
      </c>
      <c r="J136">
        <v>1.4406124999999999E-3</v>
      </c>
      <c r="K136">
        <v>2.5344367000000001</v>
      </c>
      <c r="M136">
        <v>1.4406124999999999E-3</v>
      </c>
      <c r="N136">
        <v>4.1214456999999998</v>
      </c>
    </row>
    <row r="137" spans="7:14" x14ac:dyDescent="0.3">
      <c r="G137">
        <v>1.5435134E-3</v>
      </c>
      <c r="H137">
        <v>2.5045996000000001</v>
      </c>
      <c r="J137">
        <v>1.5435134E-3</v>
      </c>
      <c r="K137">
        <v>2.5653100000000002</v>
      </c>
      <c r="M137">
        <v>1.5435134E-3</v>
      </c>
      <c r="N137">
        <v>4.1257653000000003</v>
      </c>
    </row>
    <row r="138" spans="7:14" x14ac:dyDescent="0.3">
      <c r="G138">
        <v>1.6464143E-3</v>
      </c>
      <c r="H138">
        <v>2.5368141999999998</v>
      </c>
      <c r="J138">
        <v>1.6464143E-3</v>
      </c>
      <c r="K138">
        <v>2.5939841000000001</v>
      </c>
      <c r="M138">
        <v>1.6464143E-3</v>
      </c>
      <c r="N138">
        <v>4.1300583</v>
      </c>
    </row>
    <row r="139" spans="7:14" x14ac:dyDescent="0.3">
      <c r="G139">
        <v>1.7493152000000001E-3</v>
      </c>
      <c r="H139">
        <v>2.5670446999999998</v>
      </c>
      <c r="J139">
        <v>1.7493152000000001E-3</v>
      </c>
      <c r="K139">
        <v>2.6215489999999999</v>
      </c>
      <c r="M139">
        <v>1.7493152000000001E-3</v>
      </c>
      <c r="N139">
        <v>4.1343240000000003</v>
      </c>
    </row>
    <row r="140" spans="7:14" x14ac:dyDescent="0.3">
      <c r="G140">
        <v>1.8522161000000001E-3</v>
      </c>
      <c r="H140">
        <v>2.5957463000000001</v>
      </c>
      <c r="J140">
        <v>1.8522161000000001E-3</v>
      </c>
      <c r="K140">
        <v>2.6472714000000002</v>
      </c>
      <c r="M140">
        <v>1.8522161000000001E-3</v>
      </c>
      <c r="N140">
        <v>4.1385630000000004</v>
      </c>
    </row>
    <row r="141" spans="7:14" x14ac:dyDescent="0.3">
      <c r="G141">
        <v>1.9551169000000001E-3</v>
      </c>
      <c r="H141">
        <v>2.622763</v>
      </c>
      <c r="J141">
        <v>1.9551169000000001E-3</v>
      </c>
      <c r="K141">
        <v>2.6715893999999998</v>
      </c>
      <c r="M141">
        <v>1.9551169000000001E-3</v>
      </c>
      <c r="N141">
        <v>4.1427750000000003</v>
      </c>
    </row>
    <row r="142" spans="7:14" x14ac:dyDescent="0.3">
      <c r="G142">
        <v>2.0580177999999999E-3</v>
      </c>
      <c r="H142">
        <v>2.6484504000000002</v>
      </c>
      <c r="J142">
        <v>2.0580177999999999E-3</v>
      </c>
      <c r="K142">
        <v>2.6949540000000001</v>
      </c>
      <c r="M142">
        <v>2.0580177999999999E-3</v>
      </c>
      <c r="N142">
        <v>4.1469602999999999</v>
      </c>
    </row>
    <row r="143" spans="7:14" x14ac:dyDescent="0.3">
      <c r="G143">
        <v>2.1609187000000002E-3</v>
      </c>
      <c r="H143">
        <v>2.6728532</v>
      </c>
      <c r="J143">
        <v>2.1609187000000002E-3</v>
      </c>
      <c r="K143">
        <v>2.7170209999999999</v>
      </c>
      <c r="M143">
        <v>2.1609187000000002E-3</v>
      </c>
      <c r="N143">
        <v>4.1511183000000003</v>
      </c>
    </row>
    <row r="144" spans="7:14" x14ac:dyDescent="0.3">
      <c r="G144">
        <v>2.2638196E-3</v>
      </c>
      <c r="H144">
        <v>2.6960570000000001</v>
      </c>
      <c r="J144">
        <v>2.2638196E-3</v>
      </c>
      <c r="K144">
        <v>2.7381169999999999</v>
      </c>
      <c r="M144">
        <v>2.2638196E-3</v>
      </c>
      <c r="N144">
        <v>4.1552496000000003</v>
      </c>
    </row>
    <row r="145" spans="7:14" x14ac:dyDescent="0.3">
      <c r="G145">
        <v>2.3667204999999998E-3</v>
      </c>
      <c r="H145">
        <v>2.7182086000000001</v>
      </c>
      <c r="J145">
        <v>2.3667204999999998E-3</v>
      </c>
      <c r="K145">
        <v>2.7584480999999998</v>
      </c>
      <c r="M145">
        <v>2.3667204999999998E-3</v>
      </c>
      <c r="N145">
        <v>4.1593603999999997</v>
      </c>
    </row>
    <row r="146" spans="7:14" x14ac:dyDescent="0.3">
      <c r="G146">
        <v>2.4696214000000001E-3</v>
      </c>
      <c r="H146">
        <v>2.7393657999999999</v>
      </c>
      <c r="J146">
        <v>2.4696214000000001E-3</v>
      </c>
      <c r="K146">
        <v>2.7778236999999999</v>
      </c>
      <c r="M146">
        <v>2.4696214000000001E-3</v>
      </c>
      <c r="N146">
        <v>4.1634599999999997</v>
      </c>
    </row>
    <row r="147" spans="7:14" x14ac:dyDescent="0.3">
      <c r="J147">
        <v>2.4696214000000001E-3</v>
      </c>
      <c r="K147">
        <v>2.7778236999999999</v>
      </c>
      <c r="M147">
        <v>2.4696214000000001E-3</v>
      </c>
      <c r="N147">
        <v>4.1634599999999997</v>
      </c>
    </row>
    <row r="148" spans="7:14" x14ac:dyDescent="0.3">
      <c r="J148">
        <v>4.9392426999999997E-3</v>
      </c>
      <c r="K148">
        <v>3.1041639999999999</v>
      </c>
      <c r="M148">
        <v>4.9392426999999997E-3</v>
      </c>
      <c r="N148">
        <v>4.2564086999999997</v>
      </c>
    </row>
    <row r="149" spans="7:14" x14ac:dyDescent="0.3">
      <c r="J149">
        <v>7.4088642999999999E-3</v>
      </c>
      <c r="K149">
        <v>3.3091780000000002</v>
      </c>
      <c r="M149">
        <v>7.4088642999999999E-3</v>
      </c>
      <c r="N149">
        <v>4.3420776999999999</v>
      </c>
    </row>
    <row r="150" spans="7:14" x14ac:dyDescent="0.3">
      <c r="J150">
        <v>9.8784849999999993E-3</v>
      </c>
      <c r="K150">
        <v>3.4646865999999998</v>
      </c>
      <c r="M150">
        <v>9.8784849999999993E-3</v>
      </c>
      <c r="N150">
        <v>4.4229890000000003</v>
      </c>
    </row>
    <row r="151" spans="7:14" x14ac:dyDescent="0.3">
      <c r="J151">
        <v>1.2348107000000001E-2</v>
      </c>
      <c r="K151">
        <v>3.5961664</v>
      </c>
      <c r="M151">
        <v>1.2348107000000001E-2</v>
      </c>
      <c r="N151">
        <v>4.5003229999999999</v>
      </c>
    </row>
    <row r="152" spans="7:14" x14ac:dyDescent="0.3">
      <c r="J152">
        <v>1.4817729E-2</v>
      </c>
      <c r="K152">
        <v>3.7144341000000001</v>
      </c>
      <c r="M152">
        <v>1.4817729E-2</v>
      </c>
      <c r="N152">
        <v>4.5747429999999998</v>
      </c>
    </row>
    <row r="153" spans="7:14" x14ac:dyDescent="0.3">
      <c r="J153">
        <v>1.728735E-2</v>
      </c>
      <c r="K153">
        <v>3.8213097999999999</v>
      </c>
      <c r="M153">
        <v>1.728735E-2</v>
      </c>
      <c r="N153">
        <v>4.6463109999999999</v>
      </c>
    </row>
    <row r="154" spans="7:14" x14ac:dyDescent="0.3">
      <c r="J154">
        <v>1.9756969999999999E-2</v>
      </c>
      <c r="K154">
        <v>3.9204667</v>
      </c>
      <c r="M154">
        <v>1.9756969999999999E-2</v>
      </c>
      <c r="N154">
        <v>4.7160700000000002</v>
      </c>
    </row>
    <row r="155" spans="7:14" x14ac:dyDescent="0.3">
      <c r="J155">
        <v>2.2226592999999999E-2</v>
      </c>
      <c r="K155">
        <v>4.0133210000000004</v>
      </c>
      <c r="M155">
        <v>2.2226592999999999E-2</v>
      </c>
      <c r="N155">
        <v>4.7838373000000001</v>
      </c>
    </row>
    <row r="156" spans="7:14" x14ac:dyDescent="0.3">
      <c r="J156">
        <v>2.4696214000000001E-2</v>
      </c>
      <c r="K156">
        <v>4.1004810000000003</v>
      </c>
      <c r="M156">
        <v>2.4696214000000001E-2</v>
      </c>
      <c r="N156">
        <v>4.8503109999999996</v>
      </c>
    </row>
    <row r="157" spans="7:14" x14ac:dyDescent="0.3">
      <c r="J157">
        <v>2.7165835999999999E-2</v>
      </c>
      <c r="K157">
        <v>4.1831240000000003</v>
      </c>
      <c r="M157">
        <v>2.7165835999999999E-2</v>
      </c>
      <c r="N157">
        <v>4.9152756000000002</v>
      </c>
    </row>
    <row r="158" spans="7:14" x14ac:dyDescent="0.3">
      <c r="J158">
        <v>2.9635457E-2</v>
      </c>
      <c r="K158">
        <v>4.2619660000000001</v>
      </c>
      <c r="M158">
        <v>2.9635457E-2</v>
      </c>
      <c r="N158">
        <v>4.9790299999999998</v>
      </c>
    </row>
    <row r="159" spans="7:14" x14ac:dyDescent="0.3">
      <c r="J159">
        <v>3.2105077000000003E-2</v>
      </c>
      <c r="K159">
        <v>4.3382740000000002</v>
      </c>
      <c r="M159">
        <v>3.2105077000000003E-2</v>
      </c>
      <c r="N159">
        <v>5.0416489999999996</v>
      </c>
    </row>
    <row r="160" spans="7:14" x14ac:dyDescent="0.3">
      <c r="J160">
        <v>3.45747E-2</v>
      </c>
      <c r="K160">
        <v>4.4121356</v>
      </c>
      <c r="M160">
        <v>3.45747E-2</v>
      </c>
      <c r="N160">
        <v>5.1032643000000002</v>
      </c>
    </row>
    <row r="161" spans="10:14" x14ac:dyDescent="0.3">
      <c r="J161">
        <v>3.7044319999999999E-2</v>
      </c>
      <c r="K161">
        <v>4.4839909999999996</v>
      </c>
      <c r="M161">
        <v>3.7044319999999999E-2</v>
      </c>
      <c r="N161">
        <v>5.1639866999999997</v>
      </c>
    </row>
    <row r="162" spans="10:14" x14ac:dyDescent="0.3">
      <c r="J162">
        <v>3.9513939999999997E-2</v>
      </c>
      <c r="K162">
        <v>4.5541244000000001</v>
      </c>
      <c r="M162">
        <v>3.9513939999999997E-2</v>
      </c>
      <c r="N162">
        <v>5.223897</v>
      </c>
    </row>
    <row r="163" spans="10:14" x14ac:dyDescent="0.3">
      <c r="J163">
        <v>4.1983563000000002E-2</v>
      </c>
      <c r="K163">
        <v>4.6227229999999997</v>
      </c>
      <c r="M163">
        <v>4.1983563000000002E-2</v>
      </c>
      <c r="N163">
        <v>5.283137</v>
      </c>
    </row>
    <row r="164" spans="10:14" x14ac:dyDescent="0.3">
      <c r="J164">
        <v>4.4453184999999999E-2</v>
      </c>
      <c r="K164">
        <v>4.6898660000000003</v>
      </c>
      <c r="M164">
        <v>4.4453184999999999E-2</v>
      </c>
      <c r="N164">
        <v>5.3418229999999998</v>
      </c>
    </row>
    <row r="165" spans="10:14" x14ac:dyDescent="0.3">
      <c r="J165">
        <v>4.6922806999999997E-2</v>
      </c>
      <c r="K165">
        <v>4.755738</v>
      </c>
      <c r="M165">
        <v>4.6922806999999997E-2</v>
      </c>
      <c r="N165">
        <v>5.3999595999999999</v>
      </c>
    </row>
    <row r="166" spans="10:14" x14ac:dyDescent="0.3">
      <c r="J166">
        <v>4.9392430000000001E-2</v>
      </c>
      <c r="K166">
        <v>4.8204435999999999</v>
      </c>
      <c r="M166">
        <v>4.9392430000000001E-2</v>
      </c>
      <c r="N166">
        <v>5.4574613999999997</v>
      </c>
    </row>
    <row r="167" spans="10:14" x14ac:dyDescent="0.3">
      <c r="J167">
        <v>5.186205E-2</v>
      </c>
      <c r="K167">
        <v>4.8841219999999996</v>
      </c>
      <c r="M167">
        <v>5.186205E-2</v>
      </c>
      <c r="N167">
        <v>5.5143614000000003</v>
      </c>
    </row>
    <row r="168" spans="10:14" x14ac:dyDescent="0.3">
      <c r="J168">
        <v>5.4331669999999999E-2</v>
      </c>
      <c r="K168">
        <v>4.9468769999999997</v>
      </c>
      <c r="M168">
        <v>5.4331669999999999E-2</v>
      </c>
      <c r="N168">
        <v>5.5706610000000003</v>
      </c>
    </row>
    <row r="169" spans="10:14" x14ac:dyDescent="0.3">
      <c r="J169">
        <v>5.6801293000000003E-2</v>
      </c>
      <c r="K169">
        <v>5.0088505999999997</v>
      </c>
      <c r="M169">
        <v>5.6801293000000003E-2</v>
      </c>
      <c r="N169">
        <v>5.6263595000000004</v>
      </c>
    </row>
    <row r="170" spans="10:14" x14ac:dyDescent="0.3">
      <c r="J170">
        <v>5.9270915E-2</v>
      </c>
      <c r="K170">
        <v>5.070176</v>
      </c>
      <c r="M170">
        <v>5.9270915E-2</v>
      </c>
      <c r="N170">
        <v>5.6814565999999997</v>
      </c>
    </row>
    <row r="171" spans="10:14" x14ac:dyDescent="0.3">
      <c r="J171">
        <v>6.1740535999999999E-2</v>
      </c>
      <c r="K171">
        <v>5.1309769999999997</v>
      </c>
      <c r="M171">
        <v>6.1740535999999999E-2</v>
      </c>
      <c r="N171">
        <v>5.7359530000000003</v>
      </c>
    </row>
    <row r="172" spans="10:14" x14ac:dyDescent="0.3">
      <c r="J172">
        <v>6.4210154000000005E-2</v>
      </c>
      <c r="K172">
        <v>5.1911125</v>
      </c>
      <c r="M172">
        <v>6.4210154000000005E-2</v>
      </c>
      <c r="N172">
        <v>5.7899684999999996</v>
      </c>
    </row>
    <row r="173" spans="10:14" x14ac:dyDescent="0.3">
      <c r="J173">
        <v>6.6679775999999996E-2</v>
      </c>
      <c r="K173">
        <v>5.2506180000000002</v>
      </c>
      <c r="M173">
        <v>6.6679775999999996E-2</v>
      </c>
      <c r="N173">
        <v>5.8434495999999996</v>
      </c>
    </row>
    <row r="174" spans="10:14" x14ac:dyDescent="0.3">
      <c r="J174">
        <v>6.91494E-2</v>
      </c>
      <c r="K174">
        <v>5.3094939999999999</v>
      </c>
      <c r="M174">
        <v>6.91494E-2</v>
      </c>
      <c r="N174">
        <v>5.8963694999999996</v>
      </c>
    </row>
    <row r="175" spans="10:14" x14ac:dyDescent="0.3">
      <c r="J175">
        <v>7.1619020000000005E-2</v>
      </c>
      <c r="K175">
        <v>5.3677406000000003</v>
      </c>
      <c r="M175">
        <v>7.1619020000000005E-2</v>
      </c>
      <c r="N175">
        <v>5.9487285999999999</v>
      </c>
    </row>
    <row r="176" spans="10:14" x14ac:dyDescent="0.3">
      <c r="J176">
        <v>7.4088639999999997E-2</v>
      </c>
      <c r="K176">
        <v>5.4253572999999999</v>
      </c>
      <c r="M176">
        <v>7.4088639999999997E-2</v>
      </c>
      <c r="N176">
        <v>6.0005259999999998</v>
      </c>
    </row>
    <row r="177" spans="10:14" x14ac:dyDescent="0.3">
      <c r="J177">
        <v>7.6558260000000003E-2</v>
      </c>
      <c r="K177">
        <v>5.4823446000000002</v>
      </c>
      <c r="M177">
        <v>7.6558260000000003E-2</v>
      </c>
      <c r="N177">
        <v>6.0517620000000001</v>
      </c>
    </row>
    <row r="178" spans="10:14" x14ac:dyDescent="0.3">
      <c r="J178">
        <v>7.9027879999999995E-2</v>
      </c>
      <c r="K178">
        <v>5.5387154000000001</v>
      </c>
      <c r="M178">
        <v>7.9027879999999995E-2</v>
      </c>
      <c r="N178">
        <v>6.1024374999999997</v>
      </c>
    </row>
    <row r="179" spans="10:14" x14ac:dyDescent="0.3">
      <c r="J179">
        <v>8.1497504999999998E-2</v>
      </c>
      <c r="K179">
        <v>5.5945783000000002</v>
      </c>
      <c r="M179">
        <v>8.1497504999999998E-2</v>
      </c>
      <c r="N179">
        <v>6.1530339999999999</v>
      </c>
    </row>
    <row r="180" spans="10:14" x14ac:dyDescent="0.3">
      <c r="J180">
        <v>8.3967130000000001E-2</v>
      </c>
      <c r="K180">
        <v>5.6498439999999999</v>
      </c>
      <c r="M180">
        <v>8.3967130000000001E-2</v>
      </c>
      <c r="N180">
        <v>6.2031939999999999</v>
      </c>
    </row>
    <row r="181" spans="10:14" x14ac:dyDescent="0.3">
      <c r="J181">
        <v>8.6436750000000007E-2</v>
      </c>
      <c r="K181">
        <v>5.7045139999999996</v>
      </c>
      <c r="M181">
        <v>8.6436750000000007E-2</v>
      </c>
      <c r="N181">
        <v>6.2529170000000001</v>
      </c>
    </row>
    <row r="182" spans="10:14" x14ac:dyDescent="0.3">
      <c r="J182">
        <v>8.8906369999999998E-2</v>
      </c>
      <c r="K182">
        <v>5.7585870000000003</v>
      </c>
      <c r="M182">
        <v>8.8906369999999998E-2</v>
      </c>
      <c r="N182">
        <v>6.3022026999999996</v>
      </c>
    </row>
    <row r="183" spans="10:14" x14ac:dyDescent="0.3">
      <c r="J183">
        <v>9.1375990000000004E-2</v>
      </c>
      <c r="K183">
        <v>5.8120637000000004</v>
      </c>
      <c r="M183">
        <v>9.1375990000000004E-2</v>
      </c>
      <c r="N183">
        <v>6.351051</v>
      </c>
    </row>
    <row r="184" spans="10:14" x14ac:dyDescent="0.3">
      <c r="J184">
        <v>9.3845609999999996E-2</v>
      </c>
      <c r="K184">
        <v>5.8649434999999999</v>
      </c>
      <c r="M184">
        <v>9.3845609999999996E-2</v>
      </c>
      <c r="N184">
        <v>6.3994616999999998</v>
      </c>
    </row>
    <row r="185" spans="10:14" x14ac:dyDescent="0.3">
      <c r="J185">
        <v>9.6315234999999999E-2</v>
      </c>
      <c r="K185">
        <v>5.9173039999999997</v>
      </c>
      <c r="M185">
        <v>9.6315234999999999E-2</v>
      </c>
      <c r="N185">
        <v>6.4474359999999997</v>
      </c>
    </row>
    <row r="186" spans="10:14" x14ac:dyDescent="0.3">
      <c r="J186">
        <v>9.8784860000000002E-2</v>
      </c>
      <c r="K186">
        <v>5.9695473000000003</v>
      </c>
      <c r="M186">
        <v>9.8784860000000002E-2</v>
      </c>
      <c r="N186">
        <v>6.4949719999999997</v>
      </c>
    </row>
    <row r="187" spans="10:14" x14ac:dyDescent="0.3">
      <c r="J187">
        <v>0.10125447999999999</v>
      </c>
      <c r="K187">
        <v>6.0213283999999998</v>
      </c>
      <c r="M187">
        <v>0.10125447999999999</v>
      </c>
      <c r="N187">
        <v>6.5420720000000001</v>
      </c>
    </row>
    <row r="188" spans="10:14" x14ac:dyDescent="0.3">
      <c r="J188">
        <v>0.1037241</v>
      </c>
      <c r="K188">
        <v>6.0726475999999998</v>
      </c>
      <c r="M188">
        <v>0.1037241</v>
      </c>
      <c r="N188">
        <v>6.5887339999999996</v>
      </c>
    </row>
    <row r="189" spans="10:14" x14ac:dyDescent="0.3">
      <c r="J189">
        <v>0.10619372000000001</v>
      </c>
      <c r="K189">
        <v>6.1235039999999996</v>
      </c>
      <c r="M189">
        <v>0.10619372000000001</v>
      </c>
      <c r="N189">
        <v>6.6349587000000003</v>
      </c>
    </row>
    <row r="190" spans="10:14" x14ac:dyDescent="0.3">
      <c r="J190">
        <v>0.10866334</v>
      </c>
      <c r="K190">
        <v>6.1738989999999996</v>
      </c>
      <c r="M190">
        <v>0.10866334</v>
      </c>
      <c r="N190">
        <v>6.6807466</v>
      </c>
    </row>
    <row r="191" spans="10:14" x14ac:dyDescent="0.3">
      <c r="J191">
        <v>0.111132964</v>
      </c>
      <c r="K191">
        <v>6.2238319999999998</v>
      </c>
      <c r="M191">
        <v>0.111132964</v>
      </c>
      <c r="N191">
        <v>6.7260970000000002</v>
      </c>
    </row>
    <row r="192" spans="10:14" x14ac:dyDescent="0.3">
      <c r="J192">
        <v>0.11360258600000001</v>
      </c>
      <c r="K192">
        <v>6.2733030000000003</v>
      </c>
      <c r="M192">
        <v>0.11360258600000001</v>
      </c>
      <c r="N192">
        <v>6.7711462999999998</v>
      </c>
    </row>
    <row r="193" spans="10:14" x14ac:dyDescent="0.3">
      <c r="J193">
        <v>0.11607221</v>
      </c>
      <c r="K193">
        <v>6.3223120000000002</v>
      </c>
      <c r="M193">
        <v>0.11607221</v>
      </c>
      <c r="N193">
        <v>6.8159894999999997</v>
      </c>
    </row>
    <row r="194" spans="10:14" x14ac:dyDescent="0.3">
      <c r="J194">
        <v>0.11854183</v>
      </c>
      <c r="K194">
        <v>6.3708587000000003</v>
      </c>
      <c r="M194">
        <v>0.11854183</v>
      </c>
      <c r="N194">
        <v>6.8604436</v>
      </c>
    </row>
    <row r="195" spans="10:14" x14ac:dyDescent="0.3">
      <c r="J195">
        <v>0.12101145000000001</v>
      </c>
      <c r="K195">
        <v>6.4189433999999999</v>
      </c>
      <c r="M195">
        <v>0.12101145000000001</v>
      </c>
      <c r="N195">
        <v>6.9045075999999996</v>
      </c>
    </row>
    <row r="196" spans="10:14" x14ac:dyDescent="0.3">
      <c r="J196">
        <v>0.12348107</v>
      </c>
      <c r="K196">
        <v>6.4665660000000003</v>
      </c>
      <c r="M196">
        <v>0.12348107</v>
      </c>
      <c r="N196">
        <v>6.9481826</v>
      </c>
    </row>
    <row r="197" spans="10:14" x14ac:dyDescent="0.3">
      <c r="J197">
        <v>0.1259507</v>
      </c>
      <c r="K197">
        <v>6.5137270000000003</v>
      </c>
      <c r="M197">
        <v>0.1259507</v>
      </c>
      <c r="N197">
        <v>6.9914680000000002</v>
      </c>
    </row>
    <row r="198" spans="10:14" x14ac:dyDescent="0.3">
      <c r="J198">
        <v>0.12842031000000001</v>
      </c>
      <c r="K198">
        <v>6.5604258</v>
      </c>
      <c r="M198">
        <v>0.12842031000000001</v>
      </c>
      <c r="N198">
        <v>7.0343637000000001</v>
      </c>
    </row>
    <row r="199" spans="10:14" x14ac:dyDescent="0.3">
      <c r="J199">
        <v>0.13088994000000001</v>
      </c>
      <c r="K199">
        <v>6.6067580000000001</v>
      </c>
      <c r="M199">
        <v>0.13088994000000001</v>
      </c>
      <c r="N199">
        <v>7.0768694999999999</v>
      </c>
    </row>
    <row r="200" spans="10:14" x14ac:dyDescent="0.3">
      <c r="J200">
        <v>0.13335954999999999</v>
      </c>
      <c r="K200">
        <v>6.6529226000000001</v>
      </c>
      <c r="M200">
        <v>0.13335954999999999</v>
      </c>
      <c r="N200">
        <v>7.1189859999999996</v>
      </c>
    </row>
    <row r="201" spans="10:14" x14ac:dyDescent="0.3">
      <c r="J201">
        <v>0.13582917999999999</v>
      </c>
      <c r="K201">
        <v>6.6986749999999997</v>
      </c>
      <c r="M201">
        <v>0.13582917999999999</v>
      </c>
      <c r="N201">
        <v>7.1607136999999996</v>
      </c>
    </row>
    <row r="202" spans="10:14" x14ac:dyDescent="0.3">
      <c r="J202">
        <v>0.1382988</v>
      </c>
      <c r="K202">
        <v>6.7440166000000001</v>
      </c>
      <c r="M202">
        <v>0.1382988</v>
      </c>
      <c r="N202">
        <v>7.202051</v>
      </c>
    </row>
    <row r="203" spans="10:14" x14ac:dyDescent="0.3">
      <c r="J203">
        <v>0.14076842000000001</v>
      </c>
      <c r="K203">
        <v>6.7889460000000001</v>
      </c>
      <c r="M203">
        <v>0.14076842000000001</v>
      </c>
      <c r="N203">
        <v>7.2429990000000002</v>
      </c>
    </row>
    <row r="204" spans="10:14" x14ac:dyDescent="0.3">
      <c r="J204">
        <v>0.14323804000000001</v>
      </c>
      <c r="K204">
        <v>6.8334646000000001</v>
      </c>
      <c r="M204">
        <v>0.14323804000000001</v>
      </c>
      <c r="N204">
        <v>7.2839885000000004</v>
      </c>
    </row>
    <row r="205" spans="10:14" x14ac:dyDescent="0.3">
      <c r="J205">
        <v>0.14570767000000001</v>
      </c>
      <c r="K205">
        <v>6.8775709999999997</v>
      </c>
      <c r="M205">
        <v>0.14570767000000001</v>
      </c>
      <c r="N205">
        <v>7.3246627000000002</v>
      </c>
    </row>
    <row r="206" spans="10:14" x14ac:dyDescent="0.3">
      <c r="J206">
        <v>0.14817727999999999</v>
      </c>
      <c r="K206">
        <v>6.9212666</v>
      </c>
      <c r="M206">
        <v>0.14817727999999999</v>
      </c>
      <c r="N206">
        <v>7.3650180000000001</v>
      </c>
    </row>
    <row r="207" spans="10:14" x14ac:dyDescent="0.3">
      <c r="J207">
        <v>0.15064690999999999</v>
      </c>
      <c r="K207">
        <v>6.96455</v>
      </c>
      <c r="M207">
        <v>0.15064690999999999</v>
      </c>
      <c r="N207">
        <v>7.4050539999999998</v>
      </c>
    </row>
    <row r="208" spans="10:14" x14ac:dyDescent="0.3">
      <c r="J208">
        <v>0.15311652000000001</v>
      </c>
      <c r="K208">
        <v>7.0074224000000003</v>
      </c>
      <c r="M208">
        <v>0.15311652000000001</v>
      </c>
      <c r="N208">
        <v>7.4447710000000002</v>
      </c>
    </row>
    <row r="209" spans="10:14" x14ac:dyDescent="0.3">
      <c r="J209">
        <v>0.15558615000000001</v>
      </c>
      <c r="K209">
        <v>7.0498830000000003</v>
      </c>
      <c r="M209">
        <v>0.15558615000000001</v>
      </c>
      <c r="N209">
        <v>7.4841680000000004</v>
      </c>
    </row>
    <row r="210" spans="10:14" x14ac:dyDescent="0.3">
      <c r="J210">
        <v>0.15805577000000001</v>
      </c>
      <c r="K210">
        <v>7.0919784999999997</v>
      </c>
      <c r="M210">
        <v>0.15805577000000001</v>
      </c>
      <c r="N210">
        <v>7.5232460000000003</v>
      </c>
    </row>
    <row r="211" spans="10:14" x14ac:dyDescent="0.3">
      <c r="J211">
        <v>0.16052540000000001</v>
      </c>
      <c r="K211">
        <v>7.1340994999999996</v>
      </c>
      <c r="M211">
        <v>0.16052540000000001</v>
      </c>
      <c r="N211">
        <v>7.5620050000000001</v>
      </c>
    </row>
    <row r="212" spans="10:14" x14ac:dyDescent="0.3">
      <c r="J212">
        <v>0.16299501</v>
      </c>
      <c r="K212">
        <v>7.1758870000000003</v>
      </c>
      <c r="M212">
        <v>0.16299501</v>
      </c>
      <c r="N212">
        <v>7.6004443000000004</v>
      </c>
    </row>
    <row r="213" spans="10:14" x14ac:dyDescent="0.3">
      <c r="J213">
        <v>0.16546464</v>
      </c>
      <c r="K213">
        <v>7.2173410000000002</v>
      </c>
      <c r="M213">
        <v>0.16546464</v>
      </c>
      <c r="N213">
        <v>7.6385645999999996</v>
      </c>
    </row>
    <row r="214" spans="10:14" x14ac:dyDescent="0.3">
      <c r="J214">
        <v>0.16793425000000001</v>
      </c>
      <c r="K214">
        <v>7.2584619999999997</v>
      </c>
      <c r="M214">
        <v>0.16793425000000001</v>
      </c>
      <c r="N214">
        <v>7.6763653999999999</v>
      </c>
    </row>
    <row r="215" spans="10:14" x14ac:dyDescent="0.3">
      <c r="J215">
        <v>0.17040388000000001</v>
      </c>
      <c r="K215">
        <v>7.2992489999999997</v>
      </c>
      <c r="M215">
        <v>0.17040388000000001</v>
      </c>
      <c r="N215">
        <v>7.7139879999999996</v>
      </c>
    </row>
    <row r="216" spans="10:14" x14ac:dyDescent="0.3">
      <c r="J216">
        <v>0.17287350000000001</v>
      </c>
      <c r="K216">
        <v>7.3397030000000001</v>
      </c>
      <c r="M216">
        <v>0.17287350000000001</v>
      </c>
      <c r="N216">
        <v>7.7514289999999999</v>
      </c>
    </row>
    <row r="217" spans="10:14" x14ac:dyDescent="0.3">
      <c r="J217">
        <v>0.17534313000000001</v>
      </c>
      <c r="K217">
        <v>7.3798237000000002</v>
      </c>
      <c r="M217">
        <v>0.17534313000000001</v>
      </c>
      <c r="N217">
        <v>7.7885923000000004</v>
      </c>
    </row>
    <row r="218" spans="10:14" x14ac:dyDescent="0.3">
      <c r="J218">
        <v>0.17781274</v>
      </c>
      <c r="K218">
        <v>7.4196109999999997</v>
      </c>
      <c r="M218">
        <v>0.17781274</v>
      </c>
      <c r="N218">
        <v>7.8254776000000001</v>
      </c>
    </row>
    <row r="219" spans="10:14" x14ac:dyDescent="0.3">
      <c r="J219">
        <v>0.18028237</v>
      </c>
      <c r="K219">
        <v>7.4590645000000002</v>
      </c>
      <c r="M219">
        <v>0.18028237</v>
      </c>
      <c r="N219">
        <v>7.8620850000000004</v>
      </c>
    </row>
    <row r="220" spans="10:14" x14ac:dyDescent="0.3">
      <c r="J220">
        <v>0.18275198000000001</v>
      </c>
      <c r="K220">
        <v>7.4981847000000004</v>
      </c>
      <c r="M220">
        <v>0.18275198000000001</v>
      </c>
      <c r="N220">
        <v>7.8984136999999999</v>
      </c>
    </row>
    <row r="221" spans="10:14" x14ac:dyDescent="0.3">
      <c r="J221">
        <v>0.18522161000000001</v>
      </c>
      <c r="K221">
        <v>7.5369719999999996</v>
      </c>
      <c r="M221">
        <v>0.18522161000000001</v>
      </c>
      <c r="N221">
        <v>7.9344644999999998</v>
      </c>
    </row>
    <row r="222" spans="10:14" x14ac:dyDescent="0.3">
      <c r="J222">
        <v>0.18769122999999999</v>
      </c>
      <c r="K222">
        <v>7.575666</v>
      </c>
      <c r="M222">
        <v>0.18769122999999999</v>
      </c>
      <c r="N222">
        <v>7.9702373</v>
      </c>
    </row>
    <row r="223" spans="10:14" x14ac:dyDescent="0.3">
      <c r="J223">
        <v>0.19016085999999999</v>
      </c>
      <c r="K223">
        <v>7.6140829999999999</v>
      </c>
      <c r="M223">
        <v>0.19016085999999999</v>
      </c>
      <c r="N223">
        <v>8.0057320000000001</v>
      </c>
    </row>
    <row r="224" spans="10:14" x14ac:dyDescent="0.3">
      <c r="J224">
        <v>0.19263047</v>
      </c>
      <c r="K224">
        <v>7.6522079999999999</v>
      </c>
      <c r="M224">
        <v>0.19263047</v>
      </c>
      <c r="N224">
        <v>8.0409480000000002</v>
      </c>
    </row>
    <row r="225" spans="10:14" x14ac:dyDescent="0.3">
      <c r="J225">
        <v>0.1951001</v>
      </c>
      <c r="K225">
        <v>7.690042</v>
      </c>
      <c r="M225">
        <v>0.1951001</v>
      </c>
      <c r="N225">
        <v>8.0758869999999998</v>
      </c>
    </row>
    <row r="226" spans="10:14" x14ac:dyDescent="0.3">
      <c r="J226">
        <v>0.19756971000000001</v>
      </c>
      <c r="K226">
        <v>7.7275850000000004</v>
      </c>
      <c r="M226">
        <v>0.19756971000000001</v>
      </c>
      <c r="N226">
        <v>8.1105780000000003</v>
      </c>
    </row>
    <row r="227" spans="10:14" x14ac:dyDescent="0.3">
      <c r="J227">
        <v>0.20003934000000001</v>
      </c>
      <c r="K227">
        <v>7.7648362999999998</v>
      </c>
      <c r="M227">
        <v>0.20003934000000001</v>
      </c>
      <c r="N227">
        <v>8.1451829999999994</v>
      </c>
    </row>
    <row r="228" spans="10:14" x14ac:dyDescent="0.3">
      <c r="J228">
        <v>0.20250895999999999</v>
      </c>
      <c r="K228">
        <v>7.8017969999999996</v>
      </c>
      <c r="M228">
        <v>0.20250895999999999</v>
      </c>
      <c r="N228">
        <v>8.1795439999999999</v>
      </c>
    </row>
    <row r="229" spans="10:14" x14ac:dyDescent="0.3">
      <c r="J229">
        <v>0.20497858999999999</v>
      </c>
      <c r="K229">
        <v>7.8384660000000004</v>
      </c>
      <c r="M229">
        <v>0.20497858999999999</v>
      </c>
      <c r="N229">
        <v>8.2136639999999996</v>
      </c>
    </row>
    <row r="230" spans="10:14" x14ac:dyDescent="0.3">
      <c r="J230">
        <v>0.2074482</v>
      </c>
      <c r="K230">
        <v>7.8748440000000004</v>
      </c>
      <c r="M230">
        <v>0.2074482</v>
      </c>
      <c r="N230">
        <v>8.2475395000000002</v>
      </c>
    </row>
    <row r="231" spans="10:14" x14ac:dyDescent="0.3">
      <c r="J231">
        <v>0.20991783</v>
      </c>
      <c r="K231">
        <v>7.9109309999999997</v>
      </c>
      <c r="M231">
        <v>0.20991783</v>
      </c>
      <c r="N231">
        <v>8.2811730000000008</v>
      </c>
    </row>
    <row r="232" spans="10:14" x14ac:dyDescent="0.3">
      <c r="J232">
        <v>0.21238744000000001</v>
      </c>
      <c r="K232">
        <v>7.9467270000000001</v>
      </c>
      <c r="M232">
        <v>0.21238744000000001</v>
      </c>
      <c r="N232">
        <v>8.3145620000000005</v>
      </c>
    </row>
    <row r="233" spans="10:14" x14ac:dyDescent="0.3">
      <c r="J233">
        <v>0.21485707000000001</v>
      </c>
      <c r="K233">
        <v>7.9824032999999996</v>
      </c>
      <c r="M233">
        <v>0.21485707000000001</v>
      </c>
      <c r="N233">
        <v>8.347709</v>
      </c>
    </row>
    <row r="234" spans="10:14" x14ac:dyDescent="0.3">
      <c r="J234">
        <v>0.21732668999999999</v>
      </c>
      <c r="K234">
        <v>8.0178700000000003</v>
      </c>
      <c r="M234">
        <v>0.21732668999999999</v>
      </c>
      <c r="N234">
        <v>8.3806119999999993</v>
      </c>
    </row>
    <row r="235" spans="10:14" x14ac:dyDescent="0.3">
      <c r="J235">
        <v>0.21979630999999999</v>
      </c>
      <c r="K235">
        <v>8.0530819999999999</v>
      </c>
      <c r="M235">
        <v>0.21979630999999999</v>
      </c>
      <c r="N235">
        <v>8.4132730000000002</v>
      </c>
    </row>
    <row r="236" spans="10:14" x14ac:dyDescent="0.3">
      <c r="J236">
        <v>0.22226593</v>
      </c>
      <c r="K236">
        <v>8.0880399999999995</v>
      </c>
      <c r="M236">
        <v>0.22226593</v>
      </c>
      <c r="N236">
        <v>8.4456910000000001</v>
      </c>
    </row>
    <row r="237" spans="10:14" x14ac:dyDescent="0.3">
      <c r="J237">
        <v>0.22473556</v>
      </c>
      <c r="K237">
        <v>8.1227450000000001</v>
      </c>
      <c r="M237">
        <v>0.22473556</v>
      </c>
      <c r="N237">
        <v>8.4778649999999995</v>
      </c>
    </row>
    <row r="238" spans="10:14" x14ac:dyDescent="0.3">
      <c r="J238">
        <v>0.22720517000000001</v>
      </c>
      <c r="K238">
        <v>8.1571940000000005</v>
      </c>
      <c r="M238">
        <v>0.22720517000000001</v>
      </c>
      <c r="N238">
        <v>8.5098680000000009</v>
      </c>
    </row>
    <row r="239" spans="10:14" x14ac:dyDescent="0.3">
      <c r="J239">
        <v>0.22967478999999999</v>
      </c>
      <c r="K239">
        <v>8.1913900000000002</v>
      </c>
      <c r="M239">
        <v>0.22967478999999999</v>
      </c>
      <c r="N239">
        <v>8.5416760000000007</v>
      </c>
    </row>
    <row r="240" spans="10:14" x14ac:dyDescent="0.3">
      <c r="J240">
        <v>0.23214441999999999</v>
      </c>
      <c r="K240">
        <v>8.2253310000000006</v>
      </c>
      <c r="M240">
        <v>0.23214441999999999</v>
      </c>
      <c r="N240">
        <v>8.5732669999999995</v>
      </c>
    </row>
    <row r="241" spans="10:14" x14ac:dyDescent="0.3">
      <c r="J241">
        <v>0.23461403</v>
      </c>
      <c r="K241">
        <v>8.2590179999999993</v>
      </c>
      <c r="M241">
        <v>0.23461403</v>
      </c>
      <c r="N241">
        <v>8.6046440000000004</v>
      </c>
    </row>
    <row r="242" spans="10:14" x14ac:dyDescent="0.3">
      <c r="J242">
        <v>0.23708366</v>
      </c>
      <c r="K242">
        <v>8.2924509999999998</v>
      </c>
      <c r="M242">
        <v>0.23708366</v>
      </c>
      <c r="N242">
        <v>8.6358090000000001</v>
      </c>
    </row>
    <row r="243" spans="10:14" x14ac:dyDescent="0.3">
      <c r="J243">
        <v>0.23955327000000001</v>
      </c>
      <c r="K243">
        <v>8.3256289999999993</v>
      </c>
      <c r="M243">
        <v>0.23955327000000001</v>
      </c>
      <c r="N243">
        <v>8.6667629999999996</v>
      </c>
    </row>
    <row r="244" spans="10:14" x14ac:dyDescent="0.3">
      <c r="J244">
        <v>0.24202290000000001</v>
      </c>
      <c r="K244">
        <v>8.3586139999999993</v>
      </c>
      <c r="M244">
        <v>0.24202290000000001</v>
      </c>
      <c r="N244">
        <v>8.6975110000000004</v>
      </c>
    </row>
    <row r="245" spans="10:14" x14ac:dyDescent="0.3">
      <c r="J245">
        <v>0.24449251999999999</v>
      </c>
      <c r="K245">
        <v>8.3914010000000001</v>
      </c>
      <c r="M245">
        <v>0.24449251999999999</v>
      </c>
      <c r="N245">
        <v>8.7280510000000007</v>
      </c>
    </row>
    <row r="246" spans="10:14" x14ac:dyDescent="0.3">
      <c r="J246">
        <v>0.24696214</v>
      </c>
      <c r="K246">
        <v>8.4239619999999995</v>
      </c>
      <c r="M246">
        <v>0.24696214</v>
      </c>
      <c r="N246">
        <v>8.7583880000000001</v>
      </c>
    </row>
    <row r="247" spans="10:14" x14ac:dyDescent="0.3">
      <c r="J247">
        <v>0.24943176</v>
      </c>
      <c r="K247">
        <v>8.4562980000000003</v>
      </c>
      <c r="M247">
        <v>0.24943176</v>
      </c>
      <c r="N247">
        <v>8.7885229999999996</v>
      </c>
    </row>
    <row r="248" spans="10:14" x14ac:dyDescent="0.3">
      <c r="J248">
        <v>0.2519014</v>
      </c>
      <c r="K248">
        <v>8.4884120000000003</v>
      </c>
      <c r="M248">
        <v>0.2519014</v>
      </c>
      <c r="N248">
        <v>8.8184579999999997</v>
      </c>
    </row>
    <row r="249" spans="10:14" x14ac:dyDescent="0.3">
      <c r="J249">
        <v>0.25437102</v>
      </c>
      <c r="K249">
        <v>8.5203050000000005</v>
      </c>
      <c r="M249">
        <v>0.25437102</v>
      </c>
      <c r="N249">
        <v>8.8481950000000005</v>
      </c>
    </row>
    <row r="250" spans="10:14" x14ac:dyDescent="0.3">
      <c r="J250">
        <v>0.25684062000000002</v>
      </c>
      <c r="K250">
        <v>8.5519800000000004</v>
      </c>
      <c r="M250">
        <v>0.25684062000000002</v>
      </c>
      <c r="N250">
        <v>8.8777360000000005</v>
      </c>
    </row>
    <row r="251" spans="10:14" x14ac:dyDescent="0.3">
      <c r="J251">
        <v>0.25931025000000002</v>
      </c>
      <c r="K251">
        <v>8.5834399999999995</v>
      </c>
      <c r="M251">
        <v>0.25931025000000002</v>
      </c>
      <c r="N251">
        <v>8.9070835000000006</v>
      </c>
    </row>
    <row r="252" spans="10:14" x14ac:dyDescent="0.3">
      <c r="J252">
        <v>0.26177987000000003</v>
      </c>
      <c r="K252">
        <v>8.6146849999999997</v>
      </c>
      <c r="M252">
        <v>0.26177987000000003</v>
      </c>
      <c r="N252">
        <v>8.9362390000000005</v>
      </c>
    </row>
    <row r="253" spans="10:14" x14ac:dyDescent="0.3">
      <c r="J253">
        <v>0.26424950000000003</v>
      </c>
      <c r="K253">
        <v>8.6457189999999997</v>
      </c>
      <c r="M253">
        <v>0.26424950000000003</v>
      </c>
      <c r="N253">
        <v>8.9652060000000002</v>
      </c>
    </row>
    <row r="254" spans="10:14" x14ac:dyDescent="0.3">
      <c r="J254">
        <v>0.26671909999999999</v>
      </c>
      <c r="K254">
        <v>8.6765419999999995</v>
      </c>
      <c r="M254">
        <v>0.26671909999999999</v>
      </c>
      <c r="N254">
        <v>8.9939839999999993</v>
      </c>
    </row>
    <row r="255" spans="10:14" x14ac:dyDescent="0.3">
      <c r="J255">
        <v>0.26918872999999999</v>
      </c>
      <c r="K255">
        <v>8.7071590000000008</v>
      </c>
      <c r="M255">
        <v>0.26918872999999999</v>
      </c>
      <c r="N255">
        <v>9.0225770000000001</v>
      </c>
    </row>
    <row r="256" spans="10:14" x14ac:dyDescent="0.3">
      <c r="J256">
        <v>0.27165835999999999</v>
      </c>
      <c r="K256">
        <v>8.7375699999999998</v>
      </c>
      <c r="M256">
        <v>0.27165835999999999</v>
      </c>
      <c r="N256">
        <v>9.050986</v>
      </c>
    </row>
    <row r="257" spans="10:14" x14ac:dyDescent="0.3">
      <c r="J257">
        <v>0.27412799999999998</v>
      </c>
      <c r="K257">
        <v>8.7677779999999998</v>
      </c>
      <c r="M257">
        <v>0.27412799999999998</v>
      </c>
      <c r="N257">
        <v>9.0792140000000003</v>
      </c>
    </row>
    <row r="258" spans="10:14" x14ac:dyDescent="0.3">
      <c r="J258">
        <v>0.2765976</v>
      </c>
      <c r="K258">
        <v>8.7977860000000003</v>
      </c>
      <c r="M258">
        <v>0.2765976</v>
      </c>
      <c r="N258">
        <v>9.1072629999999997</v>
      </c>
    </row>
    <row r="259" spans="10:14" x14ac:dyDescent="0.3">
      <c r="J259">
        <v>0.27906722</v>
      </c>
      <c r="K259">
        <v>8.8275939999999995</v>
      </c>
      <c r="M259">
        <v>0.27906722</v>
      </c>
      <c r="N259">
        <v>9.1351340000000008</v>
      </c>
    </row>
    <row r="260" spans="10:14" x14ac:dyDescent="0.3">
      <c r="J260">
        <v>0.28153685000000001</v>
      </c>
      <c r="K260">
        <v>8.8572050000000004</v>
      </c>
      <c r="M260">
        <v>0.28153685000000001</v>
      </c>
      <c r="N260">
        <v>9.1628279999999993</v>
      </c>
    </row>
    <row r="261" spans="10:14" x14ac:dyDescent="0.3">
      <c r="J261">
        <v>0.28400648000000001</v>
      </c>
      <c r="K261">
        <v>8.8866219999999991</v>
      </c>
      <c r="M261">
        <v>0.28400648000000001</v>
      </c>
      <c r="N261">
        <v>9.1903609999999993</v>
      </c>
    </row>
    <row r="262" spans="10:14" x14ac:dyDescent="0.3">
      <c r="J262">
        <v>0.28647608000000002</v>
      </c>
      <c r="K262">
        <v>8.9158469999999994</v>
      </c>
      <c r="M262">
        <v>0.28647608000000002</v>
      </c>
      <c r="N262">
        <v>9.2177249999999997</v>
      </c>
    </row>
    <row r="263" spans="10:14" x14ac:dyDescent="0.3">
      <c r="J263">
        <v>0.28894570000000003</v>
      </c>
      <c r="K263">
        <v>8.9448810000000005</v>
      </c>
      <c r="M263">
        <v>0.28894570000000003</v>
      </c>
      <c r="N263">
        <v>9.2449220000000008</v>
      </c>
    </row>
    <row r="264" spans="10:14" x14ac:dyDescent="0.3">
      <c r="J264">
        <v>0.29141532999999997</v>
      </c>
      <c r="K264">
        <v>8.9737279999999995</v>
      </c>
      <c r="M264">
        <v>0.29141532999999997</v>
      </c>
      <c r="N264">
        <v>9.2719529999999999</v>
      </c>
    </row>
    <row r="265" spans="10:14" x14ac:dyDescent="0.3">
      <c r="J265">
        <v>0.29388495999999997</v>
      </c>
      <c r="K265">
        <v>9.0023890000000009</v>
      </c>
      <c r="M265">
        <v>0.29388495999999997</v>
      </c>
      <c r="N265">
        <v>9.2988204999999997</v>
      </c>
    </row>
    <row r="266" spans="10:14" x14ac:dyDescent="0.3">
      <c r="J266">
        <v>0.29635455999999999</v>
      </c>
      <c r="K266">
        <v>9.0308700000000002</v>
      </c>
      <c r="M266">
        <v>0.29635455999999999</v>
      </c>
      <c r="N266">
        <v>9.325526</v>
      </c>
    </row>
    <row r="267" spans="10:14" x14ac:dyDescent="0.3">
      <c r="J267">
        <v>0.29882419999999998</v>
      </c>
      <c r="K267">
        <v>9.0591840000000001</v>
      </c>
      <c r="M267">
        <v>0.29882419999999998</v>
      </c>
      <c r="N267">
        <v>9.352074</v>
      </c>
    </row>
    <row r="268" spans="10:14" x14ac:dyDescent="0.3">
      <c r="J268">
        <v>0.30129381999999999</v>
      </c>
      <c r="K268">
        <v>9.0873200000000001</v>
      </c>
      <c r="M268">
        <v>0.30129381999999999</v>
      </c>
      <c r="N268">
        <v>9.3784650000000003</v>
      </c>
    </row>
    <row r="269" spans="10:14" x14ac:dyDescent="0.3">
      <c r="J269">
        <v>0.30376344999999999</v>
      </c>
      <c r="K269">
        <v>9.1152829999999998</v>
      </c>
      <c r="M269">
        <v>0.30376344999999999</v>
      </c>
      <c r="N269">
        <v>9.4047000000000001</v>
      </c>
    </row>
    <row r="270" spans="10:14" x14ac:dyDescent="0.3">
      <c r="J270">
        <v>0.30623305000000001</v>
      </c>
      <c r="K270">
        <v>9.1430720000000001</v>
      </c>
      <c r="M270">
        <v>0.30623305000000001</v>
      </c>
      <c r="N270">
        <v>9.4307829999999999</v>
      </c>
    </row>
    <row r="271" spans="10:14" x14ac:dyDescent="0.3">
      <c r="J271">
        <v>0.30870268000000001</v>
      </c>
      <c r="K271">
        <v>9.1706920000000007</v>
      </c>
      <c r="M271">
        <v>0.30870268000000001</v>
      </c>
      <c r="N271">
        <v>9.4567160000000001</v>
      </c>
    </row>
    <row r="272" spans="10:14" x14ac:dyDescent="0.3">
      <c r="J272">
        <v>0.31117230000000001</v>
      </c>
      <c r="K272">
        <v>9.1981439999999992</v>
      </c>
      <c r="M272">
        <v>0.31117230000000001</v>
      </c>
      <c r="N272">
        <v>9.4824999999999999</v>
      </c>
    </row>
    <row r="273" spans="10:14" x14ac:dyDescent="0.3">
      <c r="J273">
        <v>0.31364194000000001</v>
      </c>
      <c r="K273">
        <v>9.2254310000000004</v>
      </c>
      <c r="M273">
        <v>0.31364194000000001</v>
      </c>
      <c r="N273">
        <v>9.5081380000000006</v>
      </c>
    </row>
    <row r="274" spans="10:14" x14ac:dyDescent="0.3">
      <c r="J274">
        <v>0.31611152999999997</v>
      </c>
      <c r="K274">
        <v>9.2525549999999992</v>
      </c>
      <c r="M274">
        <v>0.31611152999999997</v>
      </c>
      <c r="N274">
        <v>9.5336309999999997</v>
      </c>
    </row>
    <row r="275" spans="10:14" x14ac:dyDescent="0.3">
      <c r="J275">
        <v>0.31858115999999997</v>
      </c>
      <c r="K275">
        <v>9.2795170000000002</v>
      </c>
      <c r="M275">
        <v>0.31858115999999997</v>
      </c>
      <c r="N275">
        <v>9.5589829999999996</v>
      </c>
    </row>
    <row r="276" spans="10:14" x14ac:dyDescent="0.3">
      <c r="J276">
        <v>0.32105080000000003</v>
      </c>
      <c r="K276">
        <v>9.3063210000000005</v>
      </c>
      <c r="M276">
        <v>0.32105080000000003</v>
      </c>
      <c r="N276">
        <v>9.5841940000000001</v>
      </c>
    </row>
    <row r="277" spans="10:14" x14ac:dyDescent="0.3">
      <c r="J277">
        <v>0.32352041999999998</v>
      </c>
      <c r="K277">
        <v>9.3329690000000003</v>
      </c>
      <c r="M277">
        <v>0.32352041999999998</v>
      </c>
      <c r="N277">
        <v>9.6092680000000001</v>
      </c>
    </row>
    <row r="278" spans="10:14" x14ac:dyDescent="0.3">
      <c r="J278">
        <v>0.32599001999999999</v>
      </c>
      <c r="K278">
        <v>9.3594629999999999</v>
      </c>
      <c r="M278">
        <v>0.32599001999999999</v>
      </c>
      <c r="N278">
        <v>9.6342060000000007</v>
      </c>
    </row>
    <row r="279" spans="10:14" x14ac:dyDescent="0.3">
      <c r="J279">
        <v>0.32845964999999999</v>
      </c>
      <c r="K279">
        <v>9.3858040000000003</v>
      </c>
      <c r="M279">
        <v>0.32845964999999999</v>
      </c>
      <c r="N279">
        <v>9.6590109999999996</v>
      </c>
    </row>
    <row r="280" spans="10:14" x14ac:dyDescent="0.3">
      <c r="J280">
        <v>0.33092927999999999</v>
      </c>
      <c r="K280">
        <v>9.4119969999999995</v>
      </c>
      <c r="M280">
        <v>0.33092927999999999</v>
      </c>
      <c r="N280">
        <v>9.6836830000000003</v>
      </c>
    </row>
    <row r="281" spans="10:14" x14ac:dyDescent="0.3">
      <c r="J281">
        <v>0.3333989</v>
      </c>
      <c r="K281">
        <v>9.4380430000000004</v>
      </c>
      <c r="M281">
        <v>0.3333989</v>
      </c>
      <c r="N281">
        <v>9.7082270000000008</v>
      </c>
    </row>
    <row r="282" spans="10:14" x14ac:dyDescent="0.3">
      <c r="J282">
        <v>0.33586850000000001</v>
      </c>
      <c r="K282">
        <v>9.4639430000000004</v>
      </c>
      <c r="M282">
        <v>0.33586850000000001</v>
      </c>
      <c r="N282">
        <v>9.7326440000000005</v>
      </c>
    </row>
    <row r="283" spans="10:14" x14ac:dyDescent="0.3">
      <c r="J283">
        <v>0.33833814000000001</v>
      </c>
      <c r="K283">
        <v>9.4896999999999991</v>
      </c>
      <c r="M283">
        <v>0.33833814000000001</v>
      </c>
      <c r="N283">
        <v>9.7569280000000003</v>
      </c>
    </row>
    <row r="284" spans="10:14" x14ac:dyDescent="0.3">
      <c r="J284">
        <v>0.34080777000000001</v>
      </c>
      <c r="K284">
        <v>9.5153180000000006</v>
      </c>
      <c r="M284">
        <v>0.34080777000000001</v>
      </c>
      <c r="N284">
        <v>9.7809760000000008</v>
      </c>
    </row>
    <row r="285" spans="10:14" x14ac:dyDescent="0.3">
      <c r="J285">
        <v>0.34327735999999998</v>
      </c>
      <c r="K285">
        <v>9.5407969999999995</v>
      </c>
      <c r="M285">
        <v>0.34327735999999998</v>
      </c>
      <c r="N285">
        <v>9.804888</v>
      </c>
    </row>
    <row r="286" spans="10:14" x14ac:dyDescent="0.3">
      <c r="J286">
        <v>0.34574700000000003</v>
      </c>
      <c r="K286">
        <v>9.566141</v>
      </c>
      <c r="M286">
        <v>0.34574700000000003</v>
      </c>
      <c r="N286">
        <v>9.8286650000000009</v>
      </c>
    </row>
    <row r="287" spans="10:14" x14ac:dyDescent="0.3">
      <c r="J287">
        <v>0.34821661999999998</v>
      </c>
      <c r="K287">
        <v>9.5913509999999995</v>
      </c>
      <c r="M287">
        <v>0.34821661999999998</v>
      </c>
      <c r="N287">
        <v>9.8523080000000007</v>
      </c>
    </row>
    <row r="288" spans="10:14" x14ac:dyDescent="0.3">
      <c r="J288">
        <v>0.35068624999999998</v>
      </c>
      <c r="K288">
        <v>9.6164299999999994</v>
      </c>
      <c r="M288">
        <v>0.35068624999999998</v>
      </c>
      <c r="N288">
        <v>9.8758199999999992</v>
      </c>
    </row>
    <row r="289" spans="10:14" x14ac:dyDescent="0.3">
      <c r="J289">
        <v>0.35315584999999999</v>
      </c>
      <c r="K289">
        <v>9.6412820000000004</v>
      </c>
      <c r="M289">
        <v>0.35315584999999999</v>
      </c>
      <c r="N289">
        <v>9.8992020000000007</v>
      </c>
    </row>
    <row r="290" spans="10:14" x14ac:dyDescent="0.3">
      <c r="J290">
        <v>0.35562547999999999</v>
      </c>
      <c r="K290">
        <v>9.665991</v>
      </c>
      <c r="M290">
        <v>0.35562547999999999</v>
      </c>
      <c r="N290">
        <v>9.9224549999999994</v>
      </c>
    </row>
    <row r="291" spans="10:14" x14ac:dyDescent="0.3">
      <c r="J291">
        <v>0.3580951</v>
      </c>
      <c r="K291">
        <v>9.6905610000000006</v>
      </c>
      <c r="M291">
        <v>0.3580951</v>
      </c>
      <c r="N291">
        <v>9.9455805000000002</v>
      </c>
    </row>
    <row r="292" spans="10:14" x14ac:dyDescent="0.3">
      <c r="J292">
        <v>0.36056473999999999</v>
      </c>
      <c r="K292">
        <v>9.7149940000000008</v>
      </c>
      <c r="M292">
        <v>0.36056473999999999</v>
      </c>
      <c r="N292">
        <v>9.9685790000000001</v>
      </c>
    </row>
    <row r="293" spans="10:14" x14ac:dyDescent="0.3">
      <c r="J293">
        <v>0.36303434000000001</v>
      </c>
      <c r="K293">
        <v>9.7392939999999992</v>
      </c>
      <c r="M293">
        <v>0.36303434000000001</v>
      </c>
      <c r="N293">
        <v>9.9914539999999992</v>
      </c>
    </row>
    <row r="294" spans="10:14" x14ac:dyDescent="0.3">
      <c r="J294">
        <v>0.36550397000000001</v>
      </c>
      <c r="K294">
        <v>9.7634600000000002</v>
      </c>
      <c r="M294">
        <v>0.36550397000000001</v>
      </c>
      <c r="N294">
        <v>10.014207000000001</v>
      </c>
    </row>
    <row r="295" spans="10:14" x14ac:dyDescent="0.3">
      <c r="J295">
        <v>0.36797360000000001</v>
      </c>
      <c r="K295">
        <v>9.7874949999999998</v>
      </c>
      <c r="M295">
        <v>0.36797360000000001</v>
      </c>
      <c r="N295">
        <v>10.036837</v>
      </c>
    </row>
    <row r="296" spans="10:14" x14ac:dyDescent="0.3">
      <c r="J296">
        <v>0.37044322000000002</v>
      </c>
      <c r="K296">
        <v>9.8113984999999992</v>
      </c>
      <c r="M296">
        <v>0.37044322000000002</v>
      </c>
      <c r="N296">
        <v>10.059348</v>
      </c>
    </row>
    <row r="297" spans="10:14" x14ac:dyDescent="0.3">
      <c r="J297">
        <v>0.37291281999999998</v>
      </c>
      <c r="K297">
        <v>9.8351755000000001</v>
      </c>
      <c r="M297">
        <v>0.37291281999999998</v>
      </c>
      <c r="N297">
        <v>10.081739000000001</v>
      </c>
    </row>
    <row r="298" spans="10:14" x14ac:dyDescent="0.3">
      <c r="J298">
        <v>0.37538244999999998</v>
      </c>
      <c r="K298">
        <v>9.8588260000000005</v>
      </c>
      <c r="M298">
        <v>0.37538244999999998</v>
      </c>
      <c r="N298">
        <v>10.104015</v>
      </c>
    </row>
    <row r="299" spans="10:14" x14ac:dyDescent="0.3">
      <c r="J299">
        <v>0.37785207999999998</v>
      </c>
      <c r="K299">
        <v>9.8823519999999991</v>
      </c>
      <c r="M299">
        <v>0.37785207999999998</v>
      </c>
      <c r="N299">
        <v>10.126174000000001</v>
      </c>
    </row>
    <row r="300" spans="10:14" x14ac:dyDescent="0.3">
      <c r="J300">
        <v>0.38032169999999998</v>
      </c>
      <c r="K300">
        <v>9.9057549999999992</v>
      </c>
      <c r="M300">
        <v>0.38032169999999998</v>
      </c>
      <c r="N300">
        <v>10.14822</v>
      </c>
    </row>
    <row r="301" spans="10:14" x14ac:dyDescent="0.3">
      <c r="J301">
        <v>0.3827913</v>
      </c>
      <c r="K301">
        <v>9.929036</v>
      </c>
      <c r="M301">
        <v>0.3827913</v>
      </c>
      <c r="N301">
        <v>10.170153000000001</v>
      </c>
    </row>
    <row r="302" spans="10:14" x14ac:dyDescent="0.3">
      <c r="J302">
        <v>0.38526094</v>
      </c>
      <c r="K302">
        <v>9.9521979999999992</v>
      </c>
      <c r="M302">
        <v>0.38526094</v>
      </c>
      <c r="N302">
        <v>10.191974999999999</v>
      </c>
    </row>
    <row r="303" spans="10:14" x14ac:dyDescent="0.3">
      <c r="J303">
        <v>0.38773057</v>
      </c>
      <c r="K303">
        <v>9.9752430000000007</v>
      </c>
      <c r="M303">
        <v>0.38773057</v>
      </c>
      <c r="N303">
        <v>10.213687</v>
      </c>
    </row>
    <row r="304" spans="10:14" x14ac:dyDescent="0.3">
      <c r="J304">
        <v>0.3902002</v>
      </c>
      <c r="K304">
        <v>9.9981709999999993</v>
      </c>
      <c r="M304">
        <v>0.3902002</v>
      </c>
      <c r="N304">
        <v>10.235291</v>
      </c>
    </row>
    <row r="305" spans="10:14" x14ac:dyDescent="0.3">
      <c r="J305">
        <v>0.39266980000000001</v>
      </c>
      <c r="K305">
        <v>10.020986000000001</v>
      </c>
      <c r="M305">
        <v>0.39266980000000001</v>
      </c>
      <c r="N305">
        <v>10.256788</v>
      </c>
    </row>
    <row r="306" spans="10:14" x14ac:dyDescent="0.3">
      <c r="J306">
        <v>0.39513943000000001</v>
      </c>
      <c r="K306">
        <v>10.043687</v>
      </c>
      <c r="M306">
        <v>0.39513943000000001</v>
      </c>
      <c r="N306">
        <v>10.278180000000001</v>
      </c>
    </row>
    <row r="307" spans="10:14" x14ac:dyDescent="0.3">
      <c r="J307">
        <v>0.39760906000000001</v>
      </c>
      <c r="K307">
        <v>10.066276999999999</v>
      </c>
      <c r="M307">
        <v>0.39760906000000001</v>
      </c>
      <c r="N307">
        <v>10.299469</v>
      </c>
    </row>
    <row r="308" spans="10:14" x14ac:dyDescent="0.3">
      <c r="J308">
        <v>0.40007868000000002</v>
      </c>
      <c r="K308">
        <v>10.088758</v>
      </c>
      <c r="M308">
        <v>0.40007868000000002</v>
      </c>
      <c r="N308">
        <v>10.320655</v>
      </c>
    </row>
    <row r="309" spans="10:14" x14ac:dyDescent="0.3">
      <c r="J309">
        <v>0.40254827999999998</v>
      </c>
      <c r="K309">
        <v>10.111132</v>
      </c>
      <c r="M309">
        <v>0.40254827999999998</v>
      </c>
      <c r="N309">
        <v>10.341741000000001</v>
      </c>
    </row>
    <row r="310" spans="10:14" x14ac:dyDescent="0.3">
      <c r="J310">
        <v>0.40501789999999999</v>
      </c>
      <c r="K310">
        <v>10.1334</v>
      </c>
      <c r="M310">
        <v>0.40501789999999999</v>
      </c>
      <c r="N310">
        <v>10.362705</v>
      </c>
    </row>
    <row r="311" spans="10:14" x14ac:dyDescent="0.3">
      <c r="J311">
        <v>0.40748753999999998</v>
      </c>
      <c r="K311">
        <v>10.155497</v>
      </c>
      <c r="M311">
        <v>0.40748753999999998</v>
      </c>
      <c r="N311">
        <v>10.383494000000001</v>
      </c>
    </row>
    <row r="312" spans="10:14" x14ac:dyDescent="0.3">
      <c r="J312">
        <v>0.40995716999999998</v>
      </c>
      <c r="K312">
        <v>10.177443</v>
      </c>
      <c r="M312">
        <v>0.40995716999999998</v>
      </c>
      <c r="N312">
        <v>10.404177000000001</v>
      </c>
    </row>
    <row r="313" spans="10:14" x14ac:dyDescent="0.3">
      <c r="J313">
        <v>0.41242677</v>
      </c>
      <c r="K313">
        <v>10.199273</v>
      </c>
      <c r="M313">
        <v>0.41242677</v>
      </c>
      <c r="N313">
        <v>10.424752</v>
      </c>
    </row>
    <row r="314" spans="10:14" x14ac:dyDescent="0.3">
      <c r="J314">
        <v>0.4148964</v>
      </c>
      <c r="K314">
        <v>10.22099</v>
      </c>
      <c r="M314">
        <v>0.4148964</v>
      </c>
      <c r="N314">
        <v>10.445223</v>
      </c>
    </row>
    <row r="315" spans="10:14" x14ac:dyDescent="0.3">
      <c r="J315">
        <v>0.41736603</v>
      </c>
      <c r="K315">
        <v>10.242594</v>
      </c>
      <c r="M315">
        <v>0.41736603</v>
      </c>
      <c r="N315">
        <v>10.465590000000001</v>
      </c>
    </row>
    <row r="316" spans="10:14" x14ac:dyDescent="0.3">
      <c r="J316">
        <v>0.41983566</v>
      </c>
      <c r="K316">
        <v>10.264086000000001</v>
      </c>
      <c r="M316">
        <v>0.41983566</v>
      </c>
      <c r="N316">
        <v>10.485852</v>
      </c>
    </row>
    <row r="317" spans="10:14" x14ac:dyDescent="0.3">
      <c r="J317">
        <v>0.42230526000000002</v>
      </c>
      <c r="K317">
        <v>10.285467000000001</v>
      </c>
      <c r="M317">
        <v>0.42230526000000002</v>
      </c>
      <c r="N317">
        <v>10.506014</v>
      </c>
    </row>
    <row r="318" spans="10:14" x14ac:dyDescent="0.3">
      <c r="J318">
        <v>0.42477490000000001</v>
      </c>
      <c r="K318">
        <v>10.306739</v>
      </c>
      <c r="M318">
        <v>0.42477490000000001</v>
      </c>
      <c r="N318">
        <v>10.526073999999999</v>
      </c>
    </row>
    <row r="319" spans="10:14" x14ac:dyDescent="0.3">
      <c r="J319">
        <v>0.42724450000000003</v>
      </c>
      <c r="K319">
        <v>10.327902999999999</v>
      </c>
      <c r="M319">
        <v>0.42724450000000003</v>
      </c>
      <c r="N319">
        <v>10.546035</v>
      </c>
    </row>
    <row r="320" spans="10:14" x14ac:dyDescent="0.3">
      <c r="J320">
        <v>0.42971414000000002</v>
      </c>
      <c r="K320">
        <v>10.348959000000001</v>
      </c>
      <c r="M320">
        <v>0.42971414000000002</v>
      </c>
      <c r="N320">
        <v>10.565896</v>
      </c>
    </row>
    <row r="321" spans="10:14" x14ac:dyDescent="0.3">
      <c r="J321">
        <v>0.43218373999999998</v>
      </c>
      <c r="K321">
        <v>10.369908000000001</v>
      </c>
      <c r="M321">
        <v>0.43218373999999998</v>
      </c>
      <c r="N321">
        <v>10.585660000000001</v>
      </c>
    </row>
    <row r="322" spans="10:14" x14ac:dyDescent="0.3">
      <c r="J322">
        <v>0.43465336999999998</v>
      </c>
      <c r="K322">
        <v>10.390753999999999</v>
      </c>
      <c r="M322">
        <v>0.43465336999999998</v>
      </c>
      <c r="N322">
        <v>10.605328</v>
      </c>
    </row>
    <row r="323" spans="10:14" x14ac:dyDescent="0.3">
      <c r="J323">
        <v>0.43712299999999998</v>
      </c>
      <c r="K323">
        <v>10.411493999999999</v>
      </c>
      <c r="M323">
        <v>0.43712299999999998</v>
      </c>
      <c r="N323">
        <v>10.624898999999999</v>
      </c>
    </row>
    <row r="324" spans="10:14" x14ac:dyDescent="0.3">
      <c r="J324">
        <v>0.43959262999999998</v>
      </c>
      <c r="K324">
        <v>10.432131999999999</v>
      </c>
      <c r="M324">
        <v>0.43959262999999998</v>
      </c>
      <c r="N324">
        <v>10.644377</v>
      </c>
    </row>
    <row r="325" spans="10:14" x14ac:dyDescent="0.3">
      <c r="J325">
        <v>0.44206223</v>
      </c>
      <c r="K325">
        <v>10.452667999999999</v>
      </c>
      <c r="M325">
        <v>0.44206223</v>
      </c>
      <c r="N325">
        <v>10.66376</v>
      </c>
    </row>
    <row r="326" spans="10:14" x14ac:dyDescent="0.3">
      <c r="J326">
        <v>0.44453186</v>
      </c>
      <c r="K326">
        <v>10.473103999999999</v>
      </c>
      <c r="M326">
        <v>0.44453186</v>
      </c>
      <c r="N326">
        <v>10.683052</v>
      </c>
    </row>
    <row r="327" spans="10:14" x14ac:dyDescent="0.3">
      <c r="J327">
        <v>0.4470015</v>
      </c>
      <c r="K327">
        <v>10.49344</v>
      </c>
      <c r="M327">
        <v>0.4470015</v>
      </c>
      <c r="N327">
        <v>10.702251</v>
      </c>
    </row>
    <row r="328" spans="10:14" x14ac:dyDescent="0.3">
      <c r="J328">
        <v>0.44947112</v>
      </c>
      <c r="K328">
        <v>10.513676999999999</v>
      </c>
      <c r="M328">
        <v>0.44947112</v>
      </c>
      <c r="N328">
        <v>10.721361999999999</v>
      </c>
    </row>
    <row r="329" spans="10:14" x14ac:dyDescent="0.3">
      <c r="J329">
        <v>0.45194072000000002</v>
      </c>
      <c r="K329">
        <v>10.533816</v>
      </c>
      <c r="M329">
        <v>0.45194072000000002</v>
      </c>
      <c r="N329">
        <v>10.740382</v>
      </c>
    </row>
    <row r="330" spans="10:14" x14ac:dyDescent="0.3">
      <c r="J330">
        <v>0.45441034000000002</v>
      </c>
      <c r="K330">
        <v>10.553860999999999</v>
      </c>
      <c r="M330">
        <v>0.45441034000000002</v>
      </c>
      <c r="N330">
        <v>10.759315000000001</v>
      </c>
    </row>
    <row r="331" spans="10:14" x14ac:dyDescent="0.3">
      <c r="J331">
        <v>0.45687997000000002</v>
      </c>
      <c r="K331">
        <v>10.573809000000001</v>
      </c>
      <c r="M331">
        <v>0.45687997000000002</v>
      </c>
      <c r="N331">
        <v>10.77816</v>
      </c>
    </row>
    <row r="332" spans="10:14" x14ac:dyDescent="0.3">
      <c r="J332">
        <v>0.45934956999999998</v>
      </c>
      <c r="K332">
        <v>10.593662999999999</v>
      </c>
      <c r="M332">
        <v>0.45934956999999998</v>
      </c>
      <c r="N332">
        <v>10.79692</v>
      </c>
    </row>
    <row r="333" spans="10:14" x14ac:dyDescent="0.3">
      <c r="J333">
        <v>0.46181919999999999</v>
      </c>
      <c r="K333">
        <v>10.613407</v>
      </c>
      <c r="M333">
        <v>0.46181919999999999</v>
      </c>
      <c r="N333">
        <v>10.815595</v>
      </c>
    </row>
    <row r="334" spans="10:14" x14ac:dyDescent="0.3">
      <c r="J334">
        <v>0.46428882999999999</v>
      </c>
      <c r="K334">
        <v>10.633015</v>
      </c>
      <c r="M334">
        <v>0.46428882999999999</v>
      </c>
      <c r="N334">
        <v>10.834186000000001</v>
      </c>
    </row>
    <row r="335" spans="10:14" x14ac:dyDescent="0.3">
      <c r="J335">
        <v>0.46675845999999999</v>
      </c>
      <c r="K335">
        <v>10.652524</v>
      </c>
      <c r="M335">
        <v>0.46675845999999999</v>
      </c>
      <c r="N335">
        <v>10.852694</v>
      </c>
    </row>
    <row r="336" spans="10:14" x14ac:dyDescent="0.3">
      <c r="J336">
        <v>0.46922806</v>
      </c>
      <c r="K336">
        <v>10.671935</v>
      </c>
      <c r="M336">
        <v>0.46922806</v>
      </c>
      <c r="N336">
        <v>10.871119500000001</v>
      </c>
    </row>
    <row r="337" spans="10:14" x14ac:dyDescent="0.3">
      <c r="J337">
        <v>0.4716977</v>
      </c>
      <c r="K337">
        <v>10.69125</v>
      </c>
      <c r="M337">
        <v>0.4716977</v>
      </c>
      <c r="N337">
        <v>10.889436</v>
      </c>
    </row>
    <row r="338" spans="10:14" x14ac:dyDescent="0.3">
      <c r="J338">
        <v>0.47416732</v>
      </c>
      <c r="K338">
        <v>10.710467</v>
      </c>
      <c r="M338">
        <v>0.47416732</v>
      </c>
      <c r="N338">
        <v>10.907617999999999</v>
      </c>
    </row>
    <row r="339" spans="10:14" x14ac:dyDescent="0.3">
      <c r="J339">
        <v>0.47663695</v>
      </c>
      <c r="K339">
        <v>10.729589000000001</v>
      </c>
      <c r="M339">
        <v>0.47663695</v>
      </c>
      <c r="N339">
        <v>10.925712000000001</v>
      </c>
    </row>
    <row r="340" spans="10:14" x14ac:dyDescent="0.3">
      <c r="J340">
        <v>0.47910655000000002</v>
      </c>
      <c r="K340">
        <v>10.748616999999999</v>
      </c>
      <c r="M340">
        <v>0.47910655000000002</v>
      </c>
      <c r="N340">
        <v>10.943720000000001</v>
      </c>
    </row>
    <row r="341" spans="10:14" x14ac:dyDescent="0.3">
      <c r="J341">
        <v>0.48157617000000003</v>
      </c>
      <c r="K341">
        <v>10.76755</v>
      </c>
      <c r="M341">
        <v>0.48157617000000003</v>
      </c>
      <c r="N341">
        <v>10.961641</v>
      </c>
    </row>
    <row r="342" spans="10:14" x14ac:dyDescent="0.3">
      <c r="J342">
        <v>0.48404580000000003</v>
      </c>
      <c r="K342">
        <v>10.786391</v>
      </c>
      <c r="M342">
        <v>0.48404580000000003</v>
      </c>
      <c r="N342">
        <v>10.979478</v>
      </c>
    </row>
    <row r="343" spans="10:14" x14ac:dyDescent="0.3">
      <c r="J343">
        <v>0.48651543000000003</v>
      </c>
      <c r="K343">
        <v>10.805139</v>
      </c>
      <c r="M343">
        <v>0.48651543000000003</v>
      </c>
      <c r="N343">
        <v>10.997230999999999</v>
      </c>
    </row>
    <row r="344" spans="10:14" x14ac:dyDescent="0.3">
      <c r="J344">
        <v>0.48898502999999999</v>
      </c>
      <c r="K344">
        <v>10.823795</v>
      </c>
      <c r="M344">
        <v>0.48898502999999999</v>
      </c>
      <c r="N344">
        <v>11.014898000000001</v>
      </c>
    </row>
    <row r="345" spans="10:14" x14ac:dyDescent="0.3">
      <c r="J345">
        <v>0.49145465999999999</v>
      </c>
      <c r="K345">
        <v>10.8423605</v>
      </c>
      <c r="M345">
        <v>0.49145465999999999</v>
      </c>
      <c r="N345">
        <v>11.032484</v>
      </c>
    </row>
    <row r="346" spans="10:14" x14ac:dyDescent="0.3">
      <c r="J346">
        <v>0.49392429999999998</v>
      </c>
      <c r="K346">
        <v>10.860835</v>
      </c>
      <c r="M346">
        <v>0.49392429999999998</v>
      </c>
      <c r="N346">
        <v>11.049987</v>
      </c>
    </row>
    <row r="347" spans="10:14" x14ac:dyDescent="0.3">
      <c r="J347">
        <v>0.49639391999999999</v>
      </c>
      <c r="K347">
        <v>10.879220999999999</v>
      </c>
      <c r="M347">
        <v>0.49639391999999999</v>
      </c>
      <c r="N347">
        <v>11.067409</v>
      </c>
    </row>
    <row r="348" spans="10:14" x14ac:dyDescent="0.3">
      <c r="J348">
        <v>0.49886352</v>
      </c>
      <c r="K348">
        <v>10.897518</v>
      </c>
      <c r="M348">
        <v>0.49886352</v>
      </c>
      <c r="N348">
        <v>11.084749</v>
      </c>
    </row>
    <row r="349" spans="10:14" x14ac:dyDescent="0.3">
      <c r="J349">
        <v>0.50133320000000003</v>
      </c>
      <c r="K349">
        <v>10.915728</v>
      </c>
      <c r="M349">
        <v>0.50133320000000003</v>
      </c>
      <c r="N349">
        <v>11.10201</v>
      </c>
    </row>
    <row r="350" spans="10:14" x14ac:dyDescent="0.3">
      <c r="J350">
        <v>0.5038028</v>
      </c>
      <c r="K350">
        <v>10.933849</v>
      </c>
      <c r="M350">
        <v>0.5038028</v>
      </c>
      <c r="N350">
        <v>11.119192</v>
      </c>
    </row>
    <row r="351" spans="10:14" x14ac:dyDescent="0.3">
      <c r="J351">
        <v>0.50627239999999996</v>
      </c>
      <c r="K351">
        <v>10.951885000000001</v>
      </c>
      <c r="M351">
        <v>0.50627239999999996</v>
      </c>
      <c r="N351">
        <v>11.136295</v>
      </c>
    </row>
    <row r="352" spans="10:14" x14ac:dyDescent="0.3">
      <c r="J352">
        <v>0.50874202999999996</v>
      </c>
      <c r="K352">
        <v>10.969836000000001</v>
      </c>
      <c r="M352">
        <v>0.50874202999999996</v>
      </c>
      <c r="N352">
        <v>11.153320000000001</v>
      </c>
    </row>
    <row r="353" spans="10:14" x14ac:dyDescent="0.3">
      <c r="J353">
        <v>0.51121163000000003</v>
      </c>
      <c r="K353">
        <v>10.987700999999999</v>
      </c>
      <c r="M353">
        <v>0.51121163000000003</v>
      </c>
      <c r="N353">
        <v>11.170268999999999</v>
      </c>
    </row>
    <row r="354" spans="10:14" x14ac:dyDescent="0.3">
      <c r="J354">
        <v>0.51368122999999999</v>
      </c>
      <c r="K354">
        <v>11.005483999999999</v>
      </c>
      <c r="M354">
        <v>0.51368122999999999</v>
      </c>
      <c r="N354">
        <v>11.187139999999999</v>
      </c>
    </row>
    <row r="355" spans="10:14" x14ac:dyDescent="0.3">
      <c r="J355">
        <v>0.51615089999999997</v>
      </c>
      <c r="K355">
        <v>11.023182</v>
      </c>
      <c r="M355">
        <v>0.51615089999999997</v>
      </c>
      <c r="N355">
        <v>11.203938000000001</v>
      </c>
    </row>
    <row r="356" spans="10:14" x14ac:dyDescent="0.3">
      <c r="J356">
        <v>0.51862050000000004</v>
      </c>
      <c r="K356">
        <v>11.04078</v>
      </c>
      <c r="M356">
        <v>0.51862050000000004</v>
      </c>
      <c r="N356">
        <v>11.220658999999999</v>
      </c>
    </row>
    <row r="357" spans="10:14" x14ac:dyDescent="0.3">
      <c r="J357">
        <v>0.52109015000000003</v>
      </c>
      <c r="K357">
        <v>11.058292</v>
      </c>
      <c r="M357">
        <v>0.52109015000000003</v>
      </c>
      <c r="N357">
        <v>11.237306999999999</v>
      </c>
    </row>
    <row r="358" spans="10:14" x14ac:dyDescent="0.3">
      <c r="J358">
        <v>0.52355974999999999</v>
      </c>
      <c r="K358">
        <v>11.075722000000001</v>
      </c>
      <c r="M358">
        <v>0.52355974999999999</v>
      </c>
      <c r="N358">
        <v>11.253881</v>
      </c>
    </row>
    <row r="359" spans="10:14" x14ac:dyDescent="0.3">
      <c r="J359">
        <v>0.52602934999999995</v>
      </c>
      <c r="K359">
        <v>11.093067</v>
      </c>
      <c r="M359">
        <v>0.52602934999999995</v>
      </c>
      <c r="N359">
        <v>11.270384</v>
      </c>
    </row>
    <row r="360" spans="10:14" x14ac:dyDescent="0.3">
      <c r="J360">
        <v>0.52849900000000005</v>
      </c>
      <c r="K360">
        <v>11.110329</v>
      </c>
      <c r="M360">
        <v>0.52849900000000005</v>
      </c>
      <c r="N360">
        <v>11.286814</v>
      </c>
    </row>
    <row r="361" spans="10:14" x14ac:dyDescent="0.3">
      <c r="J361">
        <v>0.53096860000000001</v>
      </c>
      <c r="K361">
        <v>11.127509</v>
      </c>
      <c r="M361">
        <v>0.53096860000000001</v>
      </c>
      <c r="N361">
        <v>11.303172999999999</v>
      </c>
    </row>
    <row r="362" spans="10:14" x14ac:dyDescent="0.3">
      <c r="J362">
        <v>0.53343819999999997</v>
      </c>
      <c r="K362">
        <v>11.144607000000001</v>
      </c>
      <c r="M362">
        <v>0.53343819999999997</v>
      </c>
      <c r="N362">
        <v>11.319463000000001</v>
      </c>
    </row>
    <row r="363" spans="10:14" x14ac:dyDescent="0.3">
      <c r="J363">
        <v>0.53590786000000001</v>
      </c>
      <c r="K363">
        <v>11.161623000000001</v>
      </c>
      <c r="M363">
        <v>0.53590786000000001</v>
      </c>
      <c r="N363">
        <v>11.335682</v>
      </c>
    </row>
    <row r="364" spans="10:14" x14ac:dyDescent="0.3">
      <c r="J364">
        <v>0.53837745999999997</v>
      </c>
      <c r="K364">
        <v>11.178558000000001</v>
      </c>
      <c r="M364">
        <v>0.53837745999999997</v>
      </c>
      <c r="N364">
        <v>11.351806</v>
      </c>
    </row>
    <row r="365" spans="10:14" x14ac:dyDescent="0.3">
      <c r="J365">
        <v>0.54084710000000003</v>
      </c>
      <c r="K365">
        <v>11.195414</v>
      </c>
      <c r="M365">
        <v>0.54084710000000003</v>
      </c>
      <c r="N365">
        <v>11.367836</v>
      </c>
    </row>
    <row r="366" spans="10:14" x14ac:dyDescent="0.3">
      <c r="J366">
        <v>0.54331669999999999</v>
      </c>
      <c r="K366">
        <v>11.212189</v>
      </c>
      <c r="M366">
        <v>0.54331669999999999</v>
      </c>
      <c r="N366">
        <v>11.383793000000001</v>
      </c>
    </row>
    <row r="367" spans="10:14" x14ac:dyDescent="0.3">
      <c r="J367">
        <v>0.54578629999999995</v>
      </c>
      <c r="K367">
        <v>11.228885</v>
      </c>
      <c r="M367">
        <v>0.54578629999999995</v>
      </c>
      <c r="N367">
        <v>11.399678</v>
      </c>
    </row>
    <row r="368" spans="10:14" x14ac:dyDescent="0.3">
      <c r="J368">
        <v>0.54825599999999997</v>
      </c>
      <c r="K368">
        <v>11.245502</v>
      </c>
      <c r="M368">
        <v>0.54825599999999997</v>
      </c>
      <c r="N368">
        <v>11.415490999999999</v>
      </c>
    </row>
    <row r="369" spans="10:14" x14ac:dyDescent="0.3">
      <c r="J369">
        <v>0.55072560000000004</v>
      </c>
      <c r="K369">
        <v>11.262041</v>
      </c>
      <c r="M369">
        <v>0.55072560000000004</v>
      </c>
      <c r="N369">
        <v>11.431232</v>
      </c>
    </row>
    <row r="370" spans="10:14" x14ac:dyDescent="0.3">
      <c r="J370">
        <v>0.5531952</v>
      </c>
      <c r="K370">
        <v>11.278501500000001</v>
      </c>
      <c r="M370">
        <v>0.5531952</v>
      </c>
      <c r="N370">
        <v>11.446904</v>
      </c>
    </row>
    <row r="371" spans="10:14" x14ac:dyDescent="0.3">
      <c r="J371">
        <v>0.55566484000000005</v>
      </c>
      <c r="K371">
        <v>11.294885000000001</v>
      </c>
      <c r="M371">
        <v>0.55566484000000005</v>
      </c>
      <c r="N371">
        <v>11.462503999999999</v>
      </c>
    </row>
    <row r="372" spans="10:14" x14ac:dyDescent="0.3">
      <c r="J372">
        <v>0.55813444000000001</v>
      </c>
      <c r="K372">
        <v>11.311192</v>
      </c>
      <c r="M372">
        <v>0.55813444000000001</v>
      </c>
      <c r="N372">
        <v>11.478037</v>
      </c>
    </row>
    <row r="373" spans="10:14" x14ac:dyDescent="0.3">
      <c r="J373">
        <v>0.56060410000000005</v>
      </c>
      <c r="K373">
        <v>11.327420999999999</v>
      </c>
      <c r="M373">
        <v>0.56060410000000005</v>
      </c>
      <c r="N373">
        <v>11.493499</v>
      </c>
    </row>
    <row r="374" spans="10:14" x14ac:dyDescent="0.3">
      <c r="J374">
        <v>0.56307370000000001</v>
      </c>
      <c r="K374">
        <v>11.3435755</v>
      </c>
      <c r="M374">
        <v>0.56307370000000001</v>
      </c>
      <c r="N374">
        <v>11.508893</v>
      </c>
    </row>
    <row r="375" spans="10:14" x14ac:dyDescent="0.3">
      <c r="J375">
        <v>0.56554329999999997</v>
      </c>
      <c r="K375">
        <v>11.359653</v>
      </c>
      <c r="M375">
        <v>0.56554329999999997</v>
      </c>
      <c r="N375">
        <v>11.524219499999999</v>
      </c>
    </row>
    <row r="376" spans="10:14" x14ac:dyDescent="0.3">
      <c r="J376">
        <v>0.56801294999999996</v>
      </c>
      <c r="K376">
        <v>11.375657</v>
      </c>
      <c r="M376">
        <v>0.56801294999999996</v>
      </c>
      <c r="N376">
        <v>11.539478000000001</v>
      </c>
    </row>
    <row r="377" spans="10:14" x14ac:dyDescent="0.3">
      <c r="J377">
        <v>0.57048255000000003</v>
      </c>
      <c r="K377">
        <v>11.391584999999999</v>
      </c>
      <c r="M377">
        <v>0.57048255000000003</v>
      </c>
      <c r="N377">
        <v>11.55467</v>
      </c>
    </row>
    <row r="378" spans="10:14" x14ac:dyDescent="0.3">
      <c r="J378">
        <v>0.57295214999999999</v>
      </c>
      <c r="K378">
        <v>11.407444999999999</v>
      </c>
      <c r="M378">
        <v>0.57295214999999999</v>
      </c>
      <c r="N378">
        <v>11.569796999999999</v>
      </c>
    </row>
    <row r="379" spans="10:14" x14ac:dyDescent="0.3">
      <c r="J379">
        <v>0.57542179999999998</v>
      </c>
      <c r="K379">
        <v>11.423233</v>
      </c>
      <c r="M379">
        <v>0.57542179999999998</v>
      </c>
      <c r="N379">
        <v>11.584857</v>
      </c>
    </row>
    <row r="380" spans="10:14" x14ac:dyDescent="0.3">
      <c r="J380">
        <v>0.57789140000000006</v>
      </c>
      <c r="K380">
        <v>11.43895</v>
      </c>
      <c r="M380">
        <v>0.57789140000000006</v>
      </c>
      <c r="N380">
        <v>11.599852</v>
      </c>
    </row>
    <row r="381" spans="10:14" x14ac:dyDescent="0.3">
      <c r="J381">
        <v>0.58036100000000002</v>
      </c>
      <c r="K381">
        <v>11.454594999999999</v>
      </c>
      <c r="M381">
        <v>0.58036100000000002</v>
      </c>
      <c r="N381">
        <v>11.614782</v>
      </c>
    </row>
    <row r="382" spans="10:14" x14ac:dyDescent="0.3">
      <c r="J382">
        <v>0.58283067</v>
      </c>
      <c r="K382">
        <v>11.470167999999999</v>
      </c>
      <c r="M382">
        <v>0.58283067</v>
      </c>
      <c r="N382">
        <v>11.629649000000001</v>
      </c>
    </row>
    <row r="383" spans="10:14" x14ac:dyDescent="0.3">
      <c r="J383">
        <v>0.58530026999999996</v>
      </c>
      <c r="K383">
        <v>11.485671999999999</v>
      </c>
      <c r="M383">
        <v>0.58530026999999996</v>
      </c>
      <c r="N383">
        <v>11.644451999999999</v>
      </c>
    </row>
    <row r="384" spans="10:14" x14ac:dyDescent="0.3">
      <c r="J384">
        <v>0.58776989999999996</v>
      </c>
      <c r="K384">
        <v>11.501104</v>
      </c>
      <c r="M384">
        <v>0.58776989999999996</v>
      </c>
      <c r="N384">
        <v>11.659192000000001</v>
      </c>
    </row>
    <row r="385" spans="10:14" x14ac:dyDescent="0.3">
      <c r="J385">
        <v>0.59023950000000003</v>
      </c>
      <c r="K385">
        <v>11.516468</v>
      </c>
      <c r="M385">
        <v>0.59023950000000003</v>
      </c>
      <c r="N385">
        <v>11.673870000000001</v>
      </c>
    </row>
    <row r="386" spans="10:14" x14ac:dyDescent="0.3">
      <c r="J386">
        <v>0.59270909999999999</v>
      </c>
      <c r="K386">
        <v>11.531762000000001</v>
      </c>
      <c r="M386">
        <v>0.59270909999999999</v>
      </c>
      <c r="N386">
        <v>11.688485999999999</v>
      </c>
    </row>
    <row r="387" spans="10:14" x14ac:dyDescent="0.3">
      <c r="J387">
        <v>0.59517880000000001</v>
      </c>
      <c r="K387">
        <v>11.546988000000001</v>
      </c>
      <c r="M387">
        <v>0.59517880000000001</v>
      </c>
      <c r="N387">
        <v>11.703041000000001</v>
      </c>
    </row>
    <row r="388" spans="10:14" x14ac:dyDescent="0.3">
      <c r="J388">
        <v>0.59764839999999997</v>
      </c>
      <c r="K388">
        <v>11.562144</v>
      </c>
      <c r="M388">
        <v>0.59764839999999997</v>
      </c>
      <c r="N388">
        <v>11.717535</v>
      </c>
    </row>
    <row r="389" spans="10:14" x14ac:dyDescent="0.3">
      <c r="J389">
        <v>0.60011800000000004</v>
      </c>
      <c r="K389">
        <v>11.577234000000001</v>
      </c>
      <c r="M389">
        <v>0.60011800000000004</v>
      </c>
      <c r="N389">
        <v>11.731968999999999</v>
      </c>
    </row>
    <row r="390" spans="10:14" x14ac:dyDescent="0.3">
      <c r="J390">
        <v>0.60258763999999998</v>
      </c>
      <c r="K390">
        <v>11.592257</v>
      </c>
      <c r="M390">
        <v>0.60258763999999998</v>
      </c>
      <c r="N390">
        <v>11.746344000000001</v>
      </c>
    </row>
    <row r="391" spans="10:14" x14ac:dyDescent="0.3">
      <c r="J391">
        <v>0.60505724000000005</v>
      </c>
      <c r="K391">
        <v>11.607212000000001</v>
      </c>
      <c r="M391">
        <v>0.60505724000000005</v>
      </c>
      <c r="N391">
        <v>11.760636999999999</v>
      </c>
    </row>
    <row r="392" spans="10:14" x14ac:dyDescent="0.3">
      <c r="J392">
        <v>0.60752689999999998</v>
      </c>
      <c r="K392">
        <v>11.622101000000001</v>
      </c>
      <c r="M392">
        <v>0.60752689999999998</v>
      </c>
      <c r="N392">
        <v>11.774861</v>
      </c>
    </row>
    <row r="393" spans="10:14" x14ac:dyDescent="0.3">
      <c r="J393">
        <v>0.60999650000000005</v>
      </c>
      <c r="K393">
        <v>11.636924</v>
      </c>
      <c r="M393">
        <v>0.60999650000000005</v>
      </c>
      <c r="N393">
        <v>11.789024</v>
      </c>
    </row>
    <row r="394" spans="10:14" x14ac:dyDescent="0.3">
      <c r="J394">
        <v>0.61246610000000001</v>
      </c>
      <c r="K394">
        <v>11.651681999999999</v>
      </c>
      <c r="M394">
        <v>0.61246610000000001</v>
      </c>
      <c r="N394">
        <v>11.803126000000001</v>
      </c>
    </row>
    <row r="395" spans="10:14" x14ac:dyDescent="0.3">
      <c r="J395">
        <v>0.61493576000000005</v>
      </c>
      <c r="K395">
        <v>11.666373999999999</v>
      </c>
      <c r="M395">
        <v>0.61493576000000005</v>
      </c>
      <c r="N395">
        <v>11.817167</v>
      </c>
    </row>
    <row r="396" spans="10:14" x14ac:dyDescent="0.3">
      <c r="J396">
        <v>0.61740534999999996</v>
      </c>
      <c r="K396">
        <v>11.681003</v>
      </c>
      <c r="M396">
        <v>0.61740534999999996</v>
      </c>
      <c r="N396">
        <v>11.831149</v>
      </c>
    </row>
    <row r="397" spans="10:14" x14ac:dyDescent="0.3">
      <c r="J397">
        <v>0.61987495000000004</v>
      </c>
      <c r="K397">
        <v>11.695567</v>
      </c>
      <c r="M397">
        <v>0.61987495000000004</v>
      </c>
      <c r="N397">
        <v>11.845071000000001</v>
      </c>
    </row>
    <row r="398" spans="10:14" x14ac:dyDescent="0.3">
      <c r="J398">
        <v>0.62234460000000003</v>
      </c>
      <c r="K398">
        <v>11.710068</v>
      </c>
      <c r="M398">
        <v>0.62234460000000003</v>
      </c>
      <c r="N398">
        <v>11.858933</v>
      </c>
    </row>
    <row r="399" spans="10:14" x14ac:dyDescent="0.3">
      <c r="J399">
        <v>0.62481419999999999</v>
      </c>
      <c r="K399">
        <v>11.724504</v>
      </c>
      <c r="M399">
        <v>0.62481419999999999</v>
      </c>
      <c r="N399">
        <v>11.872737000000001</v>
      </c>
    </row>
    <row r="400" spans="10:14" x14ac:dyDescent="0.3">
      <c r="J400">
        <v>0.62728390000000001</v>
      </c>
      <c r="K400">
        <v>11.738879000000001</v>
      </c>
      <c r="M400">
        <v>0.62728390000000001</v>
      </c>
      <c r="N400">
        <v>11.886482000000001</v>
      </c>
    </row>
    <row r="401" spans="10:14" x14ac:dyDescent="0.3">
      <c r="J401">
        <v>0.62975349999999997</v>
      </c>
      <c r="K401">
        <v>11.753190999999999</v>
      </c>
      <c r="M401">
        <v>0.62975349999999997</v>
      </c>
      <c r="N401">
        <v>11.900169</v>
      </c>
    </row>
    <row r="402" spans="10:14" x14ac:dyDescent="0.3">
      <c r="J402">
        <v>0.63222307</v>
      </c>
      <c r="K402">
        <v>11.767441</v>
      </c>
      <c r="M402">
        <v>0.63222307</v>
      </c>
      <c r="N402">
        <v>11.9138</v>
      </c>
    </row>
    <row r="403" spans="10:14" x14ac:dyDescent="0.3">
      <c r="J403">
        <v>0.6346927</v>
      </c>
      <c r="K403">
        <v>11.781629000000001</v>
      </c>
      <c r="M403">
        <v>0.6346927</v>
      </c>
      <c r="N403">
        <v>11.927372999999999</v>
      </c>
    </row>
    <row r="404" spans="10:14" x14ac:dyDescent="0.3">
      <c r="J404">
        <v>0.63716229999999996</v>
      </c>
      <c r="K404">
        <v>11.795755</v>
      </c>
      <c r="M404">
        <v>0.63716229999999996</v>
      </c>
      <c r="N404">
        <v>11.940889</v>
      </c>
    </row>
    <row r="405" spans="10:14" x14ac:dyDescent="0.3">
      <c r="J405">
        <v>0.63963190000000003</v>
      </c>
      <c r="K405">
        <v>11.809822</v>
      </c>
      <c r="M405">
        <v>0.63963190000000003</v>
      </c>
      <c r="N405">
        <v>11.954349499999999</v>
      </c>
    </row>
    <row r="406" spans="10:14" x14ac:dyDescent="0.3">
      <c r="J406">
        <v>0.64210160000000005</v>
      </c>
      <c r="K406">
        <v>11.823828000000001</v>
      </c>
      <c r="M406">
        <v>0.64210160000000005</v>
      </c>
      <c r="N406">
        <v>11.967753999999999</v>
      </c>
    </row>
    <row r="407" spans="10:14" x14ac:dyDescent="0.3">
      <c r="J407">
        <v>0.64457120000000001</v>
      </c>
      <c r="K407">
        <v>11.837773</v>
      </c>
      <c r="M407">
        <v>0.64457120000000001</v>
      </c>
      <c r="N407">
        <v>11.981102999999999</v>
      </c>
    </row>
    <row r="408" spans="10:14" x14ac:dyDescent="0.3">
      <c r="J408">
        <v>0.64704083999999995</v>
      </c>
      <c r="K408">
        <v>11.851660000000001</v>
      </c>
      <c r="M408">
        <v>0.64704083999999995</v>
      </c>
      <c r="N408">
        <v>11.994398</v>
      </c>
    </row>
    <row r="409" spans="10:14" x14ac:dyDescent="0.3">
      <c r="J409">
        <v>0.64951044000000002</v>
      </c>
      <c r="K409">
        <v>11.865487</v>
      </c>
      <c r="M409">
        <v>0.64951044000000002</v>
      </c>
      <c r="N409">
        <v>12.007638</v>
      </c>
    </row>
    <row r="410" spans="10:14" x14ac:dyDescent="0.3">
      <c r="J410">
        <v>0.65198003999999998</v>
      </c>
      <c r="K410">
        <v>11.879255000000001</v>
      </c>
      <c r="M410">
        <v>0.65198003999999998</v>
      </c>
      <c r="N410">
        <v>12.020823500000001</v>
      </c>
    </row>
    <row r="411" spans="10:14" x14ac:dyDescent="0.3">
      <c r="J411">
        <v>0.65444970000000002</v>
      </c>
      <c r="K411">
        <v>11.892965</v>
      </c>
      <c r="M411">
        <v>0.65444970000000002</v>
      </c>
      <c r="N411">
        <v>12.033956</v>
      </c>
    </row>
    <row r="412" spans="10:14" x14ac:dyDescent="0.3">
      <c r="J412">
        <v>0.65691929999999998</v>
      </c>
      <c r="K412">
        <v>11.906617000000001</v>
      </c>
      <c r="M412">
        <v>0.65691929999999998</v>
      </c>
      <c r="N412">
        <v>12.047034999999999</v>
      </c>
    </row>
    <row r="413" spans="10:14" x14ac:dyDescent="0.3">
      <c r="J413">
        <v>0.65938889999999994</v>
      </c>
      <c r="K413">
        <v>11.920211</v>
      </c>
      <c r="M413">
        <v>0.65938889999999994</v>
      </c>
      <c r="N413">
        <v>12.060060999999999</v>
      </c>
    </row>
    <row r="414" spans="10:14" x14ac:dyDescent="0.3">
      <c r="J414">
        <v>0.66185855999999998</v>
      </c>
      <c r="K414">
        <v>11.933748</v>
      </c>
      <c r="M414">
        <v>0.66185855999999998</v>
      </c>
      <c r="N414">
        <v>12.073036</v>
      </c>
    </row>
    <row r="415" spans="10:14" x14ac:dyDescent="0.3">
      <c r="J415">
        <v>0.66432815999999995</v>
      </c>
      <c r="K415">
        <v>11.947228000000001</v>
      </c>
      <c r="M415">
        <v>0.66432815999999995</v>
      </c>
      <c r="N415">
        <v>12.0859585</v>
      </c>
    </row>
    <row r="416" spans="10:14" x14ac:dyDescent="0.3">
      <c r="J416">
        <v>0.6667978</v>
      </c>
      <c r="K416">
        <v>11.960651</v>
      </c>
      <c r="M416">
        <v>0.6667978</v>
      </c>
      <c r="N416">
        <v>12.098829</v>
      </c>
    </row>
    <row r="417" spans="10:14" x14ac:dyDescent="0.3">
      <c r="J417">
        <v>0.66926739999999996</v>
      </c>
      <c r="K417">
        <v>11.974019</v>
      </c>
      <c r="M417">
        <v>0.66926739999999996</v>
      </c>
      <c r="N417">
        <v>12.1116495</v>
      </c>
    </row>
    <row r="418" spans="10:14" x14ac:dyDescent="0.3">
      <c r="J418">
        <v>0.67173700000000003</v>
      </c>
      <c r="K418">
        <v>11.98733</v>
      </c>
      <c r="M418">
        <v>0.67173700000000003</v>
      </c>
      <c r="N418">
        <v>12.124407</v>
      </c>
    </row>
    <row r="419" spans="10:14" x14ac:dyDescent="0.3">
      <c r="J419">
        <v>0.67420670000000005</v>
      </c>
      <c r="K419">
        <v>12.000586500000001</v>
      </c>
      <c r="M419">
        <v>0.67420670000000005</v>
      </c>
      <c r="N419">
        <v>12.13711</v>
      </c>
    </row>
    <row r="420" spans="10:14" x14ac:dyDescent="0.3">
      <c r="J420">
        <v>0.67667630000000001</v>
      </c>
      <c r="K420">
        <v>12.013788</v>
      </c>
      <c r="M420">
        <v>0.67667630000000001</v>
      </c>
      <c r="N420">
        <v>12.149762000000001</v>
      </c>
    </row>
    <row r="421" spans="10:14" x14ac:dyDescent="0.3">
      <c r="J421">
        <v>0.67914589999999997</v>
      </c>
      <c r="K421">
        <v>12.026935</v>
      </c>
      <c r="M421">
        <v>0.67914589999999997</v>
      </c>
      <c r="N421">
        <v>12.162362</v>
      </c>
    </row>
    <row r="422" spans="10:14" x14ac:dyDescent="0.3">
      <c r="J422">
        <v>0.68161552999999997</v>
      </c>
      <c r="K422">
        <v>12.040025999999999</v>
      </c>
      <c r="M422">
        <v>0.68161552999999997</v>
      </c>
      <c r="N422">
        <v>12.174911</v>
      </c>
    </row>
    <row r="423" spans="10:14" x14ac:dyDescent="0.3">
      <c r="J423">
        <v>0.68408513000000004</v>
      </c>
      <c r="K423">
        <v>12.053063999999999</v>
      </c>
      <c r="M423">
        <v>0.68408513000000004</v>
      </c>
      <c r="N423">
        <v>12.187409000000001</v>
      </c>
    </row>
    <row r="424" spans="10:14" x14ac:dyDescent="0.3">
      <c r="J424">
        <v>0.68655473</v>
      </c>
      <c r="K424">
        <v>12.066048</v>
      </c>
      <c r="M424">
        <v>0.68655473</v>
      </c>
      <c r="N424">
        <v>12.199857</v>
      </c>
    </row>
    <row r="425" spans="10:14" x14ac:dyDescent="0.3">
      <c r="J425">
        <v>0.68902439999999998</v>
      </c>
      <c r="K425">
        <v>12.078979</v>
      </c>
      <c r="M425">
        <v>0.68902439999999998</v>
      </c>
      <c r="N425">
        <v>12.212255000000001</v>
      </c>
    </row>
    <row r="426" spans="10:14" x14ac:dyDescent="0.3">
      <c r="J426">
        <v>0.69149400000000005</v>
      </c>
      <c r="K426">
        <v>12.091856</v>
      </c>
      <c r="M426">
        <v>0.69149400000000005</v>
      </c>
      <c r="N426">
        <v>12.224603</v>
      </c>
    </row>
    <row r="427" spans="10:14" x14ac:dyDescent="0.3">
      <c r="J427">
        <v>0.69396365000000004</v>
      </c>
      <c r="K427">
        <v>12.104680999999999</v>
      </c>
      <c r="M427">
        <v>0.69396365000000004</v>
      </c>
      <c r="N427">
        <v>12.2369</v>
      </c>
    </row>
    <row r="428" spans="10:14" x14ac:dyDescent="0.3">
      <c r="J428">
        <v>0.69643325</v>
      </c>
      <c r="K428">
        <v>12.117454</v>
      </c>
      <c r="M428">
        <v>0.69643325</v>
      </c>
      <c r="N428">
        <v>12.249148999999999</v>
      </c>
    </row>
    <row r="429" spans="10:14" x14ac:dyDescent="0.3">
      <c r="J429">
        <v>0.69890284999999996</v>
      </c>
      <c r="K429">
        <v>12.130174</v>
      </c>
      <c r="M429">
        <v>0.69890284999999996</v>
      </c>
      <c r="N429">
        <v>12.26135</v>
      </c>
    </row>
    <row r="430" spans="10:14" x14ac:dyDescent="0.3">
      <c r="J430">
        <v>0.70137249999999995</v>
      </c>
      <c r="K430">
        <v>12.142842</v>
      </c>
      <c r="M430">
        <v>0.70137249999999995</v>
      </c>
      <c r="N430">
        <v>12.2735</v>
      </c>
    </row>
    <row r="431" spans="10:14" x14ac:dyDescent="0.3">
      <c r="J431">
        <v>0.70384210000000003</v>
      </c>
      <c r="K431">
        <v>12.155459</v>
      </c>
      <c r="M431">
        <v>0.70384210000000003</v>
      </c>
      <c r="N431">
        <v>12.285603999999999</v>
      </c>
    </row>
    <row r="432" spans="10:14" x14ac:dyDescent="0.3">
      <c r="J432">
        <v>0.70631169999999999</v>
      </c>
      <c r="K432">
        <v>12.168025</v>
      </c>
      <c r="M432">
        <v>0.70631169999999999</v>
      </c>
      <c r="N432">
        <v>12.297658</v>
      </c>
    </row>
    <row r="433" spans="10:14" x14ac:dyDescent="0.3">
      <c r="J433">
        <v>0.70878136000000003</v>
      </c>
      <c r="K433">
        <v>12.180540000000001</v>
      </c>
      <c r="M433">
        <v>0.70878136000000003</v>
      </c>
      <c r="N433">
        <v>12.309665000000001</v>
      </c>
    </row>
    <row r="434" spans="10:14" x14ac:dyDescent="0.3">
      <c r="J434">
        <v>0.71125095999999999</v>
      </c>
      <c r="K434">
        <v>12.193004</v>
      </c>
      <c r="M434">
        <v>0.71125095999999999</v>
      </c>
      <c r="N434">
        <v>12.321624</v>
      </c>
    </row>
    <row r="435" spans="10:14" x14ac:dyDescent="0.3">
      <c r="J435">
        <v>0.71372060000000004</v>
      </c>
      <c r="K435">
        <v>12.205418</v>
      </c>
      <c r="M435">
        <v>0.71372060000000004</v>
      </c>
      <c r="N435">
        <v>12.333534999999999</v>
      </c>
    </row>
    <row r="436" spans="10:14" x14ac:dyDescent="0.3">
      <c r="J436">
        <v>0.7161902</v>
      </c>
      <c r="K436">
        <v>12.217782</v>
      </c>
      <c r="M436">
        <v>0.7161902</v>
      </c>
      <c r="N436">
        <v>12.3454</v>
      </c>
    </row>
    <row r="437" spans="10:14" x14ac:dyDescent="0.3">
      <c r="J437">
        <v>0.71865979999999996</v>
      </c>
      <c r="K437">
        <v>12.230097000000001</v>
      </c>
      <c r="M437">
        <v>0.71865979999999996</v>
      </c>
      <c r="N437">
        <v>12.357218</v>
      </c>
    </row>
    <row r="438" spans="10:14" x14ac:dyDescent="0.3">
      <c r="J438">
        <v>0.72112949999999998</v>
      </c>
      <c r="K438">
        <v>12.242362999999999</v>
      </c>
      <c r="M438">
        <v>0.72112949999999998</v>
      </c>
      <c r="N438">
        <v>12.368988999999999</v>
      </c>
    </row>
    <row r="439" spans="10:14" x14ac:dyDescent="0.3">
      <c r="J439">
        <v>0.72359910000000005</v>
      </c>
      <c r="K439">
        <v>12.254580499999999</v>
      </c>
      <c r="M439">
        <v>0.72359910000000005</v>
      </c>
      <c r="N439">
        <v>12.380713999999999</v>
      </c>
    </row>
    <row r="440" spans="10:14" x14ac:dyDescent="0.3">
      <c r="J440">
        <v>0.72606870000000001</v>
      </c>
      <c r="K440">
        <v>12.266748</v>
      </c>
      <c r="M440">
        <v>0.72606870000000001</v>
      </c>
      <c r="N440">
        <v>12.392393999999999</v>
      </c>
    </row>
    <row r="441" spans="10:14" x14ac:dyDescent="0.3">
      <c r="J441">
        <v>0.72853833000000001</v>
      </c>
      <c r="K441">
        <v>12.278869</v>
      </c>
      <c r="M441">
        <v>0.72853833000000001</v>
      </c>
      <c r="N441">
        <v>12.404026999999999</v>
      </c>
    </row>
    <row r="442" spans="10:14" x14ac:dyDescent="0.3">
      <c r="J442">
        <v>0.73100792999999997</v>
      </c>
      <c r="K442">
        <v>12.290940000000001</v>
      </c>
      <c r="M442">
        <v>0.73100792999999997</v>
      </c>
      <c r="N442">
        <v>12.415615000000001</v>
      </c>
    </row>
    <row r="443" spans="10:14" x14ac:dyDescent="0.3">
      <c r="J443">
        <v>0.73347759999999995</v>
      </c>
      <c r="K443">
        <v>12.302963</v>
      </c>
      <c r="M443">
        <v>0.73347759999999995</v>
      </c>
      <c r="N443">
        <v>12.427158</v>
      </c>
    </row>
    <row r="444" spans="10:14" x14ac:dyDescent="0.3">
      <c r="J444">
        <v>0.73594720000000002</v>
      </c>
      <c r="K444">
        <v>12.314939499999999</v>
      </c>
      <c r="M444">
        <v>0.73594720000000002</v>
      </c>
      <c r="N444">
        <v>12.438656</v>
      </c>
    </row>
    <row r="445" spans="10:14" x14ac:dyDescent="0.3">
      <c r="J445">
        <v>0.73841679999999998</v>
      </c>
      <c r="K445">
        <v>12.326867999999999</v>
      </c>
      <c r="M445">
        <v>0.73841679999999998</v>
      </c>
      <c r="N445">
        <v>12.45011</v>
      </c>
    </row>
    <row r="446" spans="10:14" x14ac:dyDescent="0.3">
      <c r="J446">
        <v>0.74088644999999997</v>
      </c>
      <c r="K446">
        <v>12.338749999999999</v>
      </c>
      <c r="M446">
        <v>0.74088644999999997</v>
      </c>
      <c r="N446">
        <v>12.46152</v>
      </c>
    </row>
    <row r="447" spans="10:14" x14ac:dyDescent="0.3">
      <c r="J447">
        <v>0.74335605000000005</v>
      </c>
      <c r="K447">
        <v>12.350584</v>
      </c>
      <c r="M447">
        <v>0.74335605000000005</v>
      </c>
      <c r="N447">
        <v>12.472885</v>
      </c>
    </row>
    <row r="448" spans="10:14" x14ac:dyDescent="0.3">
      <c r="J448">
        <v>0.74582565000000001</v>
      </c>
      <c r="K448">
        <v>12.362372000000001</v>
      </c>
      <c r="M448">
        <v>0.74582565000000001</v>
      </c>
      <c r="N448">
        <v>12.484207</v>
      </c>
    </row>
    <row r="449" spans="10:14" x14ac:dyDescent="0.3">
      <c r="J449">
        <v>0.7482953</v>
      </c>
      <c r="K449">
        <v>12.374114000000001</v>
      </c>
      <c r="M449">
        <v>0.7482953</v>
      </c>
      <c r="N449">
        <v>12.495485</v>
      </c>
    </row>
    <row r="450" spans="10:14" x14ac:dyDescent="0.3">
      <c r="J450">
        <v>0.75076489999999996</v>
      </c>
      <c r="K450">
        <v>12.385809</v>
      </c>
      <c r="M450">
        <v>0.75076489999999996</v>
      </c>
      <c r="N450">
        <v>12.50672</v>
      </c>
    </row>
    <row r="451" spans="10:14" x14ac:dyDescent="0.3">
      <c r="J451">
        <v>0.75323457000000005</v>
      </c>
      <c r="K451">
        <v>12.397459</v>
      </c>
      <c r="M451">
        <v>0.75323457000000005</v>
      </c>
      <c r="N451">
        <v>12.517911</v>
      </c>
    </row>
    <row r="452" spans="10:14" x14ac:dyDescent="0.3">
      <c r="J452">
        <v>0.75570415999999996</v>
      </c>
      <c r="K452">
        <v>12.409062</v>
      </c>
      <c r="M452">
        <v>0.75570415999999996</v>
      </c>
      <c r="N452">
        <v>12.529059999999999</v>
      </c>
    </row>
    <row r="453" spans="10:14" x14ac:dyDescent="0.3">
      <c r="J453">
        <v>0.75817376000000003</v>
      </c>
      <c r="K453">
        <v>12.420621000000001</v>
      </c>
      <c r="M453">
        <v>0.75817376000000003</v>
      </c>
      <c r="N453">
        <v>12.540165999999999</v>
      </c>
    </row>
    <row r="454" spans="10:14" x14ac:dyDescent="0.3">
      <c r="J454">
        <v>0.76064339999999997</v>
      </c>
      <c r="K454">
        <v>12.432134</v>
      </c>
      <c r="M454">
        <v>0.76064339999999997</v>
      </c>
      <c r="N454">
        <v>12.5512295</v>
      </c>
    </row>
    <row r="455" spans="10:14" x14ac:dyDescent="0.3">
      <c r="J455">
        <v>0.76311300000000004</v>
      </c>
      <c r="K455">
        <v>12.443602</v>
      </c>
      <c r="M455">
        <v>0.76311300000000004</v>
      </c>
      <c r="N455">
        <v>12.562251</v>
      </c>
    </row>
    <row r="456" spans="10:14" x14ac:dyDescent="0.3">
      <c r="J456">
        <v>0.7655826</v>
      </c>
      <c r="K456">
        <v>12.455026</v>
      </c>
      <c r="M456">
        <v>0.7655826</v>
      </c>
      <c r="N456">
        <v>12.573230000000001</v>
      </c>
    </row>
    <row r="457" spans="10:14" x14ac:dyDescent="0.3">
      <c r="J457">
        <v>0.76805230000000002</v>
      </c>
      <c r="K457">
        <v>12.466404000000001</v>
      </c>
      <c r="M457">
        <v>0.76805230000000002</v>
      </c>
      <c r="N457">
        <v>12.5841675</v>
      </c>
    </row>
    <row r="458" spans="10:14" x14ac:dyDescent="0.3">
      <c r="J458">
        <v>0.77052189999999998</v>
      </c>
      <c r="K458">
        <v>12.477738</v>
      </c>
      <c r="M458">
        <v>0.77052189999999998</v>
      </c>
      <c r="N458">
        <v>12.595063</v>
      </c>
    </row>
    <row r="459" spans="10:14" x14ac:dyDescent="0.3">
      <c r="J459">
        <v>0.77299154000000003</v>
      </c>
      <c r="K459">
        <v>12.489029</v>
      </c>
      <c r="M459">
        <v>0.77299154000000003</v>
      </c>
      <c r="N459">
        <v>12.605918000000001</v>
      </c>
    </row>
    <row r="460" spans="10:14" x14ac:dyDescent="0.3">
      <c r="J460">
        <v>0.77546113999999999</v>
      </c>
      <c r="K460">
        <v>12.500275999999999</v>
      </c>
      <c r="M460">
        <v>0.77546113999999999</v>
      </c>
      <c r="N460">
        <v>12.616732000000001</v>
      </c>
    </row>
    <row r="461" spans="10:14" x14ac:dyDescent="0.3">
      <c r="J461">
        <v>0.77793073999999995</v>
      </c>
      <c r="K461">
        <v>12.511478</v>
      </c>
      <c r="M461">
        <v>0.77793073999999995</v>
      </c>
      <c r="N461">
        <v>12.627504</v>
      </c>
    </row>
    <row r="462" spans="10:14" x14ac:dyDescent="0.3">
      <c r="J462">
        <v>0.78040039999999999</v>
      </c>
      <c r="K462">
        <v>12.522637</v>
      </c>
      <c r="M462">
        <v>0.78040039999999999</v>
      </c>
      <c r="N462">
        <v>12.638235999999999</v>
      </c>
    </row>
    <row r="463" spans="10:14" x14ac:dyDescent="0.3">
      <c r="J463">
        <v>0.78286999999999995</v>
      </c>
      <c r="K463">
        <v>12.533753000000001</v>
      </c>
      <c r="M463">
        <v>0.78286999999999995</v>
      </c>
      <c r="N463">
        <v>12.648928</v>
      </c>
    </row>
    <row r="464" spans="10:14" x14ac:dyDescent="0.3">
      <c r="J464">
        <v>0.78533960000000003</v>
      </c>
      <c r="K464">
        <v>12.544826499999999</v>
      </c>
      <c r="M464">
        <v>0.78533960000000003</v>
      </c>
      <c r="N464">
        <v>12.659578</v>
      </c>
    </row>
    <row r="465" spans="10:14" x14ac:dyDescent="0.3">
      <c r="J465">
        <v>0.78780925000000002</v>
      </c>
      <c r="K465">
        <v>12.555857</v>
      </c>
      <c r="M465">
        <v>0.78780925000000002</v>
      </c>
      <c r="N465">
        <v>12.67019</v>
      </c>
    </row>
    <row r="466" spans="10:14" x14ac:dyDescent="0.3">
      <c r="J466">
        <v>0.79027884999999998</v>
      </c>
      <c r="K466">
        <v>12.566843</v>
      </c>
      <c r="M466">
        <v>0.79027884999999998</v>
      </c>
      <c r="N466">
        <v>12.680759999999999</v>
      </c>
    </row>
    <row r="467" spans="10:14" x14ac:dyDescent="0.3">
      <c r="J467">
        <v>0.79274849999999997</v>
      </c>
      <c r="K467">
        <v>12.577788</v>
      </c>
      <c r="M467">
        <v>0.79274849999999997</v>
      </c>
      <c r="N467">
        <v>12.691292000000001</v>
      </c>
    </row>
    <row r="468" spans="10:14" x14ac:dyDescent="0.3">
      <c r="J468">
        <v>0.79521810000000004</v>
      </c>
      <c r="K468">
        <v>12.58869</v>
      </c>
      <c r="M468">
        <v>0.79521810000000004</v>
      </c>
      <c r="N468">
        <v>12.701784</v>
      </c>
    </row>
    <row r="469" spans="10:14" x14ac:dyDescent="0.3">
      <c r="J469">
        <v>0.7976877</v>
      </c>
      <c r="K469">
        <v>12.599550000000001</v>
      </c>
      <c r="M469">
        <v>0.7976877</v>
      </c>
      <c r="N469">
        <v>12.712236000000001</v>
      </c>
    </row>
    <row r="470" spans="10:14" x14ac:dyDescent="0.3">
      <c r="J470">
        <v>0.80015736999999998</v>
      </c>
      <c r="K470">
        <v>12.610367999999999</v>
      </c>
      <c r="M470">
        <v>0.80015736999999998</v>
      </c>
      <c r="N470">
        <v>12.72265</v>
      </c>
    </row>
    <row r="471" spans="10:14" x14ac:dyDescent="0.3">
      <c r="J471">
        <v>0.80262697000000005</v>
      </c>
      <c r="K471">
        <v>12.621143999999999</v>
      </c>
      <c r="M471">
        <v>0.80262697000000005</v>
      </c>
      <c r="N471">
        <v>12.733025</v>
      </c>
    </row>
    <row r="472" spans="10:14" x14ac:dyDescent="0.3">
      <c r="J472">
        <v>0.80509657000000001</v>
      </c>
      <c r="K472">
        <v>12.631878</v>
      </c>
      <c r="M472">
        <v>0.80509657000000001</v>
      </c>
      <c r="N472">
        <v>12.7433605</v>
      </c>
    </row>
    <row r="473" spans="10:14" x14ac:dyDescent="0.3">
      <c r="J473">
        <v>0.80756620000000001</v>
      </c>
      <c r="K473">
        <v>12.642574</v>
      </c>
      <c r="M473">
        <v>0.80756620000000001</v>
      </c>
      <c r="N473">
        <v>12.753657</v>
      </c>
    </row>
    <row r="474" spans="10:14" x14ac:dyDescent="0.3">
      <c r="J474">
        <v>0.81003579999999997</v>
      </c>
      <c r="K474">
        <v>12.653237000000001</v>
      </c>
      <c r="M474">
        <v>0.81003579999999997</v>
      </c>
      <c r="N474">
        <v>12.763916</v>
      </c>
    </row>
    <row r="475" spans="10:14" x14ac:dyDescent="0.3">
      <c r="J475">
        <v>0.81250540000000004</v>
      </c>
      <c r="K475">
        <v>12.663859</v>
      </c>
      <c r="M475">
        <v>0.81250540000000004</v>
      </c>
      <c r="N475">
        <v>12.774137</v>
      </c>
    </row>
    <row r="476" spans="10:14" x14ac:dyDescent="0.3">
      <c r="J476">
        <v>0.81497509999999995</v>
      </c>
      <c r="K476">
        <v>12.674442000000001</v>
      </c>
      <c r="M476">
        <v>0.81497509999999995</v>
      </c>
      <c r="N476">
        <v>12.784319</v>
      </c>
    </row>
    <row r="477" spans="10:14" x14ac:dyDescent="0.3">
      <c r="J477">
        <v>0.81744470000000002</v>
      </c>
      <c r="K477">
        <v>12.684984999999999</v>
      </c>
      <c r="M477">
        <v>0.81744470000000002</v>
      </c>
      <c r="N477">
        <v>12.794464</v>
      </c>
    </row>
    <row r="478" spans="10:14" x14ac:dyDescent="0.3">
      <c r="J478">
        <v>0.81991433999999996</v>
      </c>
      <c r="K478">
        <v>12.695489</v>
      </c>
      <c r="M478">
        <v>0.81991433999999996</v>
      </c>
      <c r="N478">
        <v>12.804570999999999</v>
      </c>
    </row>
    <row r="479" spans="10:14" x14ac:dyDescent="0.3">
      <c r="J479">
        <v>0.82238394000000004</v>
      </c>
      <c r="K479">
        <v>12.705952999999999</v>
      </c>
      <c r="M479">
        <v>0.82238394000000004</v>
      </c>
      <c r="N479">
        <v>12.814640000000001</v>
      </c>
    </row>
    <row r="480" spans="10:14" x14ac:dyDescent="0.3">
      <c r="J480">
        <v>0.82485354</v>
      </c>
      <c r="K480">
        <v>12.716377</v>
      </c>
      <c r="M480">
        <v>0.82485354</v>
      </c>
      <c r="N480">
        <v>12.824672</v>
      </c>
    </row>
    <row r="481" spans="10:14" x14ac:dyDescent="0.3">
      <c r="J481">
        <v>0.82732320000000004</v>
      </c>
      <c r="K481">
        <v>12.726763999999999</v>
      </c>
      <c r="M481">
        <v>0.82732320000000004</v>
      </c>
      <c r="N481">
        <v>12.834667</v>
      </c>
    </row>
    <row r="482" spans="10:14" x14ac:dyDescent="0.3">
      <c r="J482">
        <v>0.8297928</v>
      </c>
      <c r="K482">
        <v>12.737111000000001</v>
      </c>
      <c r="M482">
        <v>0.8297928</v>
      </c>
      <c r="N482">
        <v>12.8446245</v>
      </c>
    </row>
    <row r="483" spans="10:14" x14ac:dyDescent="0.3">
      <c r="J483">
        <v>0.83226239999999996</v>
      </c>
      <c r="K483">
        <v>12.747419000000001</v>
      </c>
      <c r="M483">
        <v>0.83226239999999996</v>
      </c>
      <c r="N483">
        <v>12.854545999999999</v>
      </c>
    </row>
    <row r="484" spans="10:14" x14ac:dyDescent="0.3">
      <c r="J484">
        <v>0.83473206</v>
      </c>
      <c r="K484">
        <v>12.757688999999999</v>
      </c>
      <c r="M484">
        <v>0.83473206</v>
      </c>
      <c r="N484">
        <v>12.864428999999999</v>
      </c>
    </row>
    <row r="485" spans="10:14" x14ac:dyDescent="0.3">
      <c r="J485">
        <v>0.83720165000000002</v>
      </c>
      <c r="K485">
        <v>12.767920999999999</v>
      </c>
      <c r="M485">
        <v>0.83720165000000002</v>
      </c>
      <c r="N485">
        <v>12.874276</v>
      </c>
    </row>
    <row r="486" spans="10:14" x14ac:dyDescent="0.3">
      <c r="J486">
        <v>0.83967130000000001</v>
      </c>
      <c r="K486">
        <v>12.778115</v>
      </c>
      <c r="M486">
        <v>0.83967130000000001</v>
      </c>
      <c r="N486">
        <v>12.884088</v>
      </c>
    </row>
    <row r="487" spans="10:14" x14ac:dyDescent="0.3">
      <c r="J487">
        <v>0.84214089999999997</v>
      </c>
      <c r="K487">
        <v>12.788271999999999</v>
      </c>
      <c r="M487">
        <v>0.84214089999999997</v>
      </c>
      <c r="N487">
        <v>12.893862</v>
      </c>
    </row>
    <row r="488" spans="10:14" x14ac:dyDescent="0.3">
      <c r="J488">
        <v>0.84461050000000004</v>
      </c>
      <c r="K488">
        <v>12.798389999999999</v>
      </c>
      <c r="M488">
        <v>0.84461050000000004</v>
      </c>
      <c r="N488">
        <v>12.903600000000001</v>
      </c>
    </row>
    <row r="489" spans="10:14" x14ac:dyDescent="0.3">
      <c r="J489">
        <v>0.84708019999999995</v>
      </c>
      <c r="K489">
        <v>12.808471000000001</v>
      </c>
      <c r="M489">
        <v>0.84708019999999995</v>
      </c>
      <c r="N489">
        <v>12.913302</v>
      </c>
    </row>
    <row r="490" spans="10:14" x14ac:dyDescent="0.3">
      <c r="J490">
        <v>0.84954980000000002</v>
      </c>
      <c r="K490">
        <v>12.818514</v>
      </c>
      <c r="M490">
        <v>0.84954980000000002</v>
      </c>
      <c r="N490">
        <v>12.922969</v>
      </c>
    </row>
    <row r="491" spans="10:14" x14ac:dyDescent="0.3">
      <c r="J491">
        <v>0.85201937000000005</v>
      </c>
      <c r="K491">
        <v>12.828519999999999</v>
      </c>
      <c r="M491">
        <v>0.85201937000000005</v>
      </c>
      <c r="N491">
        <v>12.932599</v>
      </c>
    </row>
    <row r="492" spans="10:14" x14ac:dyDescent="0.3">
      <c r="J492">
        <v>0.85448900000000005</v>
      </c>
      <c r="K492">
        <v>12.83849</v>
      </c>
      <c r="M492">
        <v>0.85448900000000005</v>
      </c>
      <c r="N492">
        <v>12.942194000000001</v>
      </c>
    </row>
    <row r="493" spans="10:14" x14ac:dyDescent="0.3">
      <c r="J493">
        <v>0.85695860000000001</v>
      </c>
      <c r="K493">
        <v>12.848421</v>
      </c>
      <c r="M493">
        <v>0.85695860000000001</v>
      </c>
      <c r="N493">
        <v>12.951753999999999</v>
      </c>
    </row>
    <row r="494" spans="10:14" x14ac:dyDescent="0.3">
      <c r="J494">
        <v>0.85942830000000003</v>
      </c>
      <c r="K494">
        <v>12.858316</v>
      </c>
      <c r="M494">
        <v>0.85942830000000003</v>
      </c>
      <c r="N494">
        <v>12.961278</v>
      </c>
    </row>
    <row r="495" spans="10:14" x14ac:dyDescent="0.3">
      <c r="J495">
        <v>0.86189789999999999</v>
      </c>
      <c r="K495">
        <v>12.8681755</v>
      </c>
      <c r="M495">
        <v>0.86189789999999999</v>
      </c>
      <c r="N495">
        <v>12.970765999999999</v>
      </c>
    </row>
    <row r="496" spans="10:14" x14ac:dyDescent="0.3">
      <c r="J496">
        <v>0.86436749999999996</v>
      </c>
      <c r="K496">
        <v>12.877997000000001</v>
      </c>
      <c r="M496">
        <v>0.86436749999999996</v>
      </c>
      <c r="N496">
        <v>12.980219999999999</v>
      </c>
    </row>
    <row r="497" spans="10:14" x14ac:dyDescent="0.3">
      <c r="J497">
        <v>0.86683714000000001</v>
      </c>
      <c r="K497">
        <v>12.887783000000001</v>
      </c>
      <c r="M497">
        <v>0.86683714000000001</v>
      </c>
      <c r="N497">
        <v>12.989637999999999</v>
      </c>
    </row>
    <row r="498" spans="10:14" x14ac:dyDescent="0.3">
      <c r="J498">
        <v>0.86930673999999997</v>
      </c>
      <c r="K498">
        <v>12.897532</v>
      </c>
      <c r="M498">
        <v>0.86930673999999997</v>
      </c>
      <c r="N498">
        <v>12.999027999999999</v>
      </c>
    </row>
    <row r="499" spans="10:14" x14ac:dyDescent="0.3">
      <c r="J499">
        <v>0.87177634000000004</v>
      </c>
      <c r="K499">
        <v>12.907247</v>
      </c>
      <c r="M499">
        <v>0.87177634000000004</v>
      </c>
      <c r="N499">
        <v>13.008395</v>
      </c>
    </row>
    <row r="500" spans="10:14" x14ac:dyDescent="0.3">
      <c r="J500">
        <v>0.87424599999999997</v>
      </c>
      <c r="K500">
        <v>12.916923499999999</v>
      </c>
      <c r="M500">
        <v>0.87424599999999997</v>
      </c>
      <c r="N500">
        <v>13.017728999999999</v>
      </c>
    </row>
    <row r="501" spans="10:14" x14ac:dyDescent="0.3">
      <c r="J501">
        <v>0.87671560000000004</v>
      </c>
      <c r="K501">
        <v>12.926565999999999</v>
      </c>
      <c r="M501">
        <v>0.87671560000000004</v>
      </c>
      <c r="N501">
        <v>13.02703</v>
      </c>
    </row>
    <row r="502" spans="10:14" x14ac:dyDescent="0.3">
      <c r="J502">
        <v>0.87918525999999997</v>
      </c>
      <c r="K502">
        <v>12.936171999999999</v>
      </c>
      <c r="M502">
        <v>0.87918525999999997</v>
      </c>
      <c r="N502">
        <v>13.036298</v>
      </c>
    </row>
    <row r="503" spans="10:14" x14ac:dyDescent="0.3">
      <c r="J503">
        <v>0.88165486000000004</v>
      </c>
      <c r="K503">
        <v>12.945743</v>
      </c>
      <c r="M503">
        <v>0.88165486000000004</v>
      </c>
      <c r="N503">
        <v>13.045532</v>
      </c>
    </row>
    <row r="504" spans="10:14" x14ac:dyDescent="0.3">
      <c r="J504">
        <v>0.88412446</v>
      </c>
      <c r="K504">
        <v>12.955277000000001</v>
      </c>
      <c r="M504">
        <v>0.88412446</v>
      </c>
      <c r="N504">
        <v>13.054735000000001</v>
      </c>
    </row>
    <row r="505" spans="10:14" x14ac:dyDescent="0.3">
      <c r="J505">
        <v>0.88659410000000005</v>
      </c>
      <c r="K505">
        <v>12.964778000000001</v>
      </c>
      <c r="M505">
        <v>0.88659410000000005</v>
      </c>
      <c r="N505">
        <v>13.063905</v>
      </c>
    </row>
    <row r="506" spans="10:14" x14ac:dyDescent="0.3">
      <c r="J506">
        <v>0.88906370000000001</v>
      </c>
      <c r="K506">
        <v>12.974242</v>
      </c>
      <c r="M506">
        <v>0.88906370000000001</v>
      </c>
      <c r="N506">
        <v>13.073043</v>
      </c>
    </row>
    <row r="507" spans="10:14" x14ac:dyDescent="0.3">
      <c r="J507">
        <v>0.89153329999999997</v>
      </c>
      <c r="K507">
        <v>12.983672</v>
      </c>
      <c r="M507">
        <v>0.89153329999999997</v>
      </c>
      <c r="N507">
        <v>13.082148999999999</v>
      </c>
    </row>
    <row r="508" spans="10:14" x14ac:dyDescent="0.3">
      <c r="J508">
        <v>0.89400299999999999</v>
      </c>
      <c r="K508">
        <v>12.993067</v>
      </c>
      <c r="M508">
        <v>0.89400299999999999</v>
      </c>
      <c r="N508">
        <v>13.091222</v>
      </c>
    </row>
    <row r="509" spans="10:14" x14ac:dyDescent="0.3">
      <c r="J509">
        <v>0.89647259999999995</v>
      </c>
      <c r="K509">
        <v>13.002427000000001</v>
      </c>
      <c r="M509">
        <v>0.89647259999999995</v>
      </c>
      <c r="N509">
        <v>13.100263999999999</v>
      </c>
    </row>
    <row r="510" spans="10:14" x14ac:dyDescent="0.3">
      <c r="J510">
        <v>0.89894222999999995</v>
      </c>
      <c r="K510">
        <v>13.011752</v>
      </c>
      <c r="M510">
        <v>0.89894222999999995</v>
      </c>
      <c r="N510">
        <v>13.109273999999999</v>
      </c>
    </row>
    <row r="511" spans="10:14" x14ac:dyDescent="0.3">
      <c r="J511">
        <v>0.90141183000000003</v>
      </c>
      <c r="K511">
        <v>13.021044</v>
      </c>
      <c r="M511">
        <v>0.90141183000000003</v>
      </c>
      <c r="N511">
        <v>13.118252</v>
      </c>
    </row>
    <row r="512" spans="10:14" x14ac:dyDescent="0.3">
      <c r="M512">
        <v>0.90141183000000003</v>
      </c>
      <c r="N512">
        <v>13.118252</v>
      </c>
    </row>
    <row r="513" spans="13:14" x14ac:dyDescent="0.3">
      <c r="M513">
        <v>1.8028237</v>
      </c>
      <c r="N513">
        <v>15.086347999999999</v>
      </c>
    </row>
    <row r="514" spans="13:14" x14ac:dyDescent="0.3">
      <c r="M514">
        <v>2.7042356000000001</v>
      </c>
      <c r="N514">
        <v>15.903119999999999</v>
      </c>
    </row>
    <row r="515" spans="13:14" x14ac:dyDescent="0.3">
      <c r="M515">
        <v>3.6056473000000002</v>
      </c>
      <c r="N515">
        <v>16.333176000000002</v>
      </c>
    </row>
    <row r="516" spans="13:14" x14ac:dyDescent="0.3">
      <c r="M516">
        <v>4.5070589999999999</v>
      </c>
      <c r="N516">
        <v>16.594505000000002</v>
      </c>
    </row>
    <row r="517" spans="13:14" x14ac:dyDescent="0.3">
      <c r="M517">
        <v>5.4084709999999996</v>
      </c>
      <c r="N517">
        <v>16.76511</v>
      </c>
    </row>
    <row r="518" spans="13:14" x14ac:dyDescent="0.3">
      <c r="M518">
        <v>6.3098825999999999</v>
      </c>
      <c r="N518">
        <v>16.885120000000001</v>
      </c>
    </row>
    <row r="519" spans="13:14" x14ac:dyDescent="0.3">
      <c r="M519">
        <v>7.2112946999999998</v>
      </c>
      <c r="N519">
        <v>16.975007999999999</v>
      </c>
    </row>
    <row r="520" spans="13:14" x14ac:dyDescent="0.3">
      <c r="M520">
        <v>8.1127059999999993</v>
      </c>
      <c r="N520">
        <v>17.046492000000001</v>
      </c>
    </row>
    <row r="521" spans="13:14" x14ac:dyDescent="0.3">
      <c r="M521">
        <v>9.0141179999999999</v>
      </c>
      <c r="N521">
        <v>17.103999999999999</v>
      </c>
    </row>
    <row r="522" spans="13:14" x14ac:dyDescent="0.3">
      <c r="M522">
        <v>9.9155300000000004</v>
      </c>
      <c r="N522">
        <v>17.151071999999999</v>
      </c>
    </row>
    <row r="523" spans="13:14" x14ac:dyDescent="0.3">
      <c r="M523">
        <v>10.816941999999999</v>
      </c>
      <c r="N523">
        <v>17.189934000000001</v>
      </c>
    </row>
    <row r="524" spans="13:14" x14ac:dyDescent="0.3">
      <c r="M524">
        <v>11.718353</v>
      </c>
      <c r="N524">
        <v>17.222671999999999</v>
      </c>
    </row>
    <row r="525" spans="13:14" x14ac:dyDescent="0.3">
      <c r="M525">
        <v>12.619764999999999</v>
      </c>
      <c r="N525">
        <v>17.250661999999998</v>
      </c>
    </row>
    <row r="526" spans="13:14" x14ac:dyDescent="0.3">
      <c r="M526">
        <v>13.521177</v>
      </c>
      <c r="N526">
        <v>17.275449999999999</v>
      </c>
    </row>
    <row r="527" spans="13:14" x14ac:dyDescent="0.3">
      <c r="M527">
        <v>14.422589</v>
      </c>
      <c r="N527">
        <v>17.297148</v>
      </c>
    </row>
    <row r="528" spans="13:14" x14ac:dyDescent="0.3">
      <c r="M528">
        <v>15.324001000000001</v>
      </c>
      <c r="N528">
        <v>17.316742000000001</v>
      </c>
    </row>
    <row r="529" spans="13:14" x14ac:dyDescent="0.3">
      <c r="M529">
        <v>16.225411999999999</v>
      </c>
      <c r="N529">
        <v>17.334233999999999</v>
      </c>
    </row>
    <row r="530" spans="13:14" x14ac:dyDescent="0.3">
      <c r="M530">
        <v>17.126825</v>
      </c>
      <c r="N530">
        <v>17.350121999999999</v>
      </c>
    </row>
    <row r="531" spans="13:14" x14ac:dyDescent="0.3">
      <c r="M531">
        <v>18.028236</v>
      </c>
      <c r="N531">
        <v>17.3645</v>
      </c>
    </row>
    <row r="532" spans="13:14" x14ac:dyDescent="0.3">
      <c r="M532">
        <v>18.929646999999999</v>
      </c>
      <c r="N532">
        <v>17.377624999999998</v>
      </c>
    </row>
    <row r="533" spans="13:14" x14ac:dyDescent="0.3">
      <c r="M533">
        <v>19.831060000000001</v>
      </c>
      <c r="N533">
        <v>17.389631000000001</v>
      </c>
    </row>
    <row r="534" spans="13:14" x14ac:dyDescent="0.3">
      <c r="M534">
        <v>20.732471</v>
      </c>
      <c r="N534">
        <v>17.40063</v>
      </c>
    </row>
    <row r="535" spans="13:14" x14ac:dyDescent="0.3">
      <c r="M535">
        <v>21.633883999999998</v>
      </c>
      <c r="N535">
        <v>17.410727000000001</v>
      </c>
    </row>
    <row r="536" spans="13:14" x14ac:dyDescent="0.3">
      <c r="M536">
        <v>22.535295000000001</v>
      </c>
      <c r="N536">
        <v>17.420055000000001</v>
      </c>
    </row>
    <row r="537" spans="13:14" x14ac:dyDescent="0.3">
      <c r="M537">
        <v>23.436706999999998</v>
      </c>
      <c r="N537">
        <v>17.428736000000001</v>
      </c>
    </row>
    <row r="538" spans="13:14" x14ac:dyDescent="0.3">
      <c r="M538">
        <v>24.33812</v>
      </c>
      <c r="N538">
        <v>17.436772999999999</v>
      </c>
    </row>
    <row r="539" spans="13:14" x14ac:dyDescent="0.3">
      <c r="M539">
        <v>25.239529999999998</v>
      </c>
      <c r="N539">
        <v>17.444313000000001</v>
      </c>
    </row>
    <row r="540" spans="13:14" x14ac:dyDescent="0.3">
      <c r="M540">
        <v>26.140944000000001</v>
      </c>
      <c r="N540">
        <v>17.451453999999998</v>
      </c>
    </row>
    <row r="541" spans="13:14" x14ac:dyDescent="0.3">
      <c r="M541">
        <v>27.042355000000001</v>
      </c>
      <c r="N541">
        <v>17.458233</v>
      </c>
    </row>
    <row r="542" spans="13:14" x14ac:dyDescent="0.3">
      <c r="M542">
        <v>27.943766</v>
      </c>
      <c r="N542">
        <v>17.46453</v>
      </c>
    </row>
    <row r="543" spans="13:14" x14ac:dyDescent="0.3">
      <c r="M543">
        <v>28.845179000000002</v>
      </c>
      <c r="N543">
        <v>17.470510000000001</v>
      </c>
    </row>
    <row r="544" spans="13:14" x14ac:dyDescent="0.3">
      <c r="M544">
        <v>29.746590000000001</v>
      </c>
      <c r="N544">
        <v>17.476227000000002</v>
      </c>
    </row>
    <row r="545" spans="13:14" x14ac:dyDescent="0.3">
      <c r="M545">
        <v>30.648002999999999</v>
      </c>
      <c r="N545">
        <v>17.481653000000001</v>
      </c>
    </row>
    <row r="546" spans="13:14" x14ac:dyDescent="0.3">
      <c r="M546">
        <v>31.549413999999999</v>
      </c>
      <c r="N546">
        <v>17.486764999999998</v>
      </c>
    </row>
    <row r="547" spans="13:14" x14ac:dyDescent="0.3">
      <c r="M547">
        <v>32.450825000000002</v>
      </c>
      <c r="N547">
        <v>17.49164</v>
      </c>
    </row>
    <row r="548" spans="13:14" x14ac:dyDescent="0.3">
      <c r="M548">
        <v>33.352238</v>
      </c>
      <c r="N548">
        <v>17.496305</v>
      </c>
    </row>
    <row r="549" spans="13:14" x14ac:dyDescent="0.3">
      <c r="M549">
        <v>34.25365</v>
      </c>
      <c r="N549">
        <v>17.500730000000001</v>
      </c>
    </row>
    <row r="550" spans="13:14" x14ac:dyDescent="0.3">
      <c r="M550">
        <v>35.155059999999999</v>
      </c>
      <c r="N550">
        <v>17.504940000000001</v>
      </c>
    </row>
    <row r="551" spans="13:14" x14ac:dyDescent="0.3">
      <c r="M551">
        <v>36.056472999999997</v>
      </c>
      <c r="N551">
        <v>17.508963000000001</v>
      </c>
    </row>
    <row r="552" spans="13:14" x14ac:dyDescent="0.3">
      <c r="M552">
        <v>36.957886000000002</v>
      </c>
      <c r="N552">
        <v>17.512813999999999</v>
      </c>
    </row>
    <row r="553" spans="13:14" x14ac:dyDescent="0.3">
      <c r="M553">
        <v>37.859295000000003</v>
      </c>
      <c r="N553">
        <v>17.516487000000001</v>
      </c>
    </row>
    <row r="554" spans="13:14" x14ac:dyDescent="0.3">
      <c r="M554">
        <v>38.760708000000001</v>
      </c>
      <c r="N554">
        <v>17.52</v>
      </c>
    </row>
    <row r="555" spans="13:14" x14ac:dyDescent="0.3">
      <c r="M555">
        <v>39.662120000000002</v>
      </c>
      <c r="N555">
        <v>17.523363</v>
      </c>
    </row>
    <row r="556" spans="13:14" x14ac:dyDescent="0.3">
      <c r="M556">
        <v>40.563533999999997</v>
      </c>
      <c r="N556">
        <v>17.526585000000001</v>
      </c>
    </row>
    <row r="557" spans="13:14" x14ac:dyDescent="0.3">
      <c r="M557">
        <v>41.464942999999998</v>
      </c>
      <c r="N557">
        <v>17.529675999999998</v>
      </c>
    </row>
    <row r="558" spans="13:14" x14ac:dyDescent="0.3">
      <c r="M558">
        <v>42.366356000000003</v>
      </c>
      <c r="N558">
        <v>17.532646</v>
      </c>
    </row>
    <row r="559" spans="13:14" x14ac:dyDescent="0.3">
      <c r="M559">
        <v>43.267769999999999</v>
      </c>
      <c r="N559">
        <v>17.535495999999998</v>
      </c>
    </row>
    <row r="560" spans="13:14" x14ac:dyDescent="0.3">
      <c r="M560">
        <v>44.169178000000002</v>
      </c>
      <c r="N560">
        <v>17.538235</v>
      </c>
    </row>
    <row r="561" spans="13:14" x14ac:dyDescent="0.3">
      <c r="M561">
        <v>45.070590000000003</v>
      </c>
      <c r="N561">
        <v>17.540866999999999</v>
      </c>
    </row>
    <row r="562" spans="13:14" x14ac:dyDescent="0.3">
      <c r="M562">
        <v>45.972003999999998</v>
      </c>
      <c r="N562">
        <v>17.543396000000001</v>
      </c>
    </row>
    <row r="563" spans="13:14" x14ac:dyDescent="0.3">
      <c r="M563">
        <v>46.873412999999999</v>
      </c>
      <c r="N563">
        <v>17.545826000000002</v>
      </c>
    </row>
    <row r="564" spans="13:14" x14ac:dyDescent="0.3">
      <c r="M564">
        <v>47.774825999999997</v>
      </c>
      <c r="N564">
        <v>17.548169999999999</v>
      </c>
    </row>
    <row r="565" spans="13:14" x14ac:dyDescent="0.3">
      <c r="M565">
        <v>48.67624</v>
      </c>
      <c r="N565">
        <v>17.550428</v>
      </c>
    </row>
    <row r="566" spans="13:14" x14ac:dyDescent="0.3">
      <c r="M566">
        <v>49.577652</v>
      </c>
      <c r="N566">
        <v>17.552605</v>
      </c>
    </row>
    <row r="567" spans="13:14" x14ac:dyDescent="0.3">
      <c r="M567">
        <v>50.479059999999997</v>
      </c>
      <c r="N567">
        <v>17.554698999999999</v>
      </c>
    </row>
    <row r="568" spans="13:14" x14ac:dyDescent="0.3">
      <c r="M568">
        <v>51.380474</v>
      </c>
      <c r="N568">
        <v>17.556712999999998</v>
      </c>
    </row>
    <row r="569" spans="13:14" x14ac:dyDescent="0.3">
      <c r="M569">
        <v>52.281886999999998</v>
      </c>
      <c r="N569">
        <v>17.55865</v>
      </c>
    </row>
    <row r="570" spans="13:14" x14ac:dyDescent="0.3">
      <c r="M570">
        <v>53.183295999999999</v>
      </c>
      <c r="N570">
        <v>17.560507000000001</v>
      </c>
    </row>
    <row r="571" spans="13:14" x14ac:dyDescent="0.3">
      <c r="M571">
        <v>54.084710000000001</v>
      </c>
      <c r="N571">
        <v>17.562296</v>
      </c>
    </row>
    <row r="572" spans="13:14" x14ac:dyDescent="0.3">
      <c r="M572">
        <v>54.986122000000002</v>
      </c>
      <c r="N572">
        <v>17.564033999999999</v>
      </c>
    </row>
    <row r="573" spans="13:14" x14ac:dyDescent="0.3">
      <c r="M573">
        <v>55.887529999999998</v>
      </c>
      <c r="N573">
        <v>17.565709999999999</v>
      </c>
    </row>
    <row r="574" spans="13:14" x14ac:dyDescent="0.3">
      <c r="M574">
        <v>56.788944000000001</v>
      </c>
      <c r="N574">
        <v>17.567326000000001</v>
      </c>
    </row>
    <row r="575" spans="13:14" x14ac:dyDescent="0.3">
      <c r="M575">
        <v>57.690356999999999</v>
      </c>
      <c r="N575">
        <v>17.568884000000001</v>
      </c>
    </row>
    <row r="576" spans="13:14" x14ac:dyDescent="0.3">
      <c r="M576">
        <v>58.591769999999997</v>
      </c>
      <c r="N576">
        <v>17.570381000000001</v>
      </c>
    </row>
    <row r="577" spans="13:14" x14ac:dyDescent="0.3">
      <c r="M577">
        <v>59.493180000000002</v>
      </c>
      <c r="N577">
        <v>17.571822999999998</v>
      </c>
    </row>
    <row r="578" spans="13:14" x14ac:dyDescent="0.3">
      <c r="M578">
        <v>60.394592000000003</v>
      </c>
      <c r="N578">
        <v>17.573208000000001</v>
      </c>
    </row>
    <row r="579" spans="13:14" x14ac:dyDescent="0.3">
      <c r="M579">
        <v>61.296005000000001</v>
      </c>
      <c r="N579">
        <v>17.574553999999999</v>
      </c>
    </row>
    <row r="580" spans="13:14" x14ac:dyDescent="0.3">
      <c r="M580">
        <v>62.197414000000002</v>
      </c>
      <c r="N580">
        <v>17.575855000000001</v>
      </c>
    </row>
    <row r="581" spans="13:14" x14ac:dyDescent="0.3">
      <c r="M581">
        <v>63.098827</v>
      </c>
      <c r="N581">
        <v>17.577112</v>
      </c>
    </row>
    <row r="582" spans="13:14" x14ac:dyDescent="0.3">
      <c r="M582">
        <v>64.000240000000005</v>
      </c>
      <c r="N582">
        <v>17.578325</v>
      </c>
    </row>
    <row r="583" spans="13:14" x14ac:dyDescent="0.3">
      <c r="M583">
        <v>64.901650000000004</v>
      </c>
      <c r="N583">
        <v>17.579495999999999</v>
      </c>
    </row>
    <row r="584" spans="13:14" x14ac:dyDescent="0.3">
      <c r="M584">
        <v>65.803060000000002</v>
      </c>
      <c r="N584">
        <v>17.580627</v>
      </c>
    </row>
    <row r="585" spans="13:14" x14ac:dyDescent="0.3">
      <c r="M585">
        <v>66.704475000000002</v>
      </c>
      <c r="N585">
        <v>17.581717000000001</v>
      </c>
    </row>
    <row r="586" spans="13:14" x14ac:dyDescent="0.3">
      <c r="M586">
        <v>67.605890000000002</v>
      </c>
      <c r="N586">
        <v>17.582771000000001</v>
      </c>
    </row>
    <row r="587" spans="13:14" x14ac:dyDescent="0.3">
      <c r="M587">
        <v>68.507300000000001</v>
      </c>
      <c r="N587">
        <v>17.583794000000001</v>
      </c>
    </row>
    <row r="588" spans="13:14" x14ac:dyDescent="0.3">
      <c r="M588">
        <v>69.408714000000003</v>
      </c>
      <c r="N588">
        <v>17.584783999999999</v>
      </c>
    </row>
    <row r="589" spans="13:14" x14ac:dyDescent="0.3">
      <c r="M589">
        <v>70.310119999999998</v>
      </c>
      <c r="N589">
        <v>17.585740999999999</v>
      </c>
    </row>
    <row r="590" spans="13:14" x14ac:dyDescent="0.3">
      <c r="M590">
        <v>71.211529999999996</v>
      </c>
      <c r="N590">
        <v>17.586666000000001</v>
      </c>
    </row>
    <row r="591" spans="13:14" x14ac:dyDescent="0.3">
      <c r="M591">
        <v>72.112945999999994</v>
      </c>
      <c r="N591">
        <v>17.587562999999999</v>
      </c>
    </row>
    <row r="592" spans="13:14" x14ac:dyDescent="0.3">
      <c r="M592">
        <v>73.014359999999996</v>
      </c>
      <c r="N592">
        <v>17.588429999999999</v>
      </c>
    </row>
    <row r="593" spans="13:14" x14ac:dyDescent="0.3">
      <c r="M593">
        <v>73.915769999999995</v>
      </c>
      <c r="N593">
        <v>17.589269999999999</v>
      </c>
    </row>
    <row r="594" spans="13:14" x14ac:dyDescent="0.3">
      <c r="M594">
        <v>74.817183999999997</v>
      </c>
      <c r="N594">
        <v>17.590084000000001</v>
      </c>
    </row>
    <row r="595" spans="13:14" x14ac:dyDescent="0.3">
      <c r="M595">
        <v>75.718590000000006</v>
      </c>
      <c r="N595">
        <v>17.590873999999999</v>
      </c>
    </row>
    <row r="596" spans="13:14" x14ac:dyDescent="0.3">
      <c r="M596">
        <v>76.62</v>
      </c>
      <c r="N596">
        <v>17.591640000000002</v>
      </c>
    </row>
    <row r="597" spans="13:14" x14ac:dyDescent="0.3">
      <c r="M597">
        <v>77.521416000000002</v>
      </c>
      <c r="N597">
        <v>17.592382000000001</v>
      </c>
    </row>
    <row r="598" spans="13:14" x14ac:dyDescent="0.3">
      <c r="M598">
        <v>78.422830000000005</v>
      </c>
      <c r="N598">
        <v>17.593102999999999</v>
      </c>
    </row>
    <row r="599" spans="13:14" x14ac:dyDescent="0.3">
      <c r="M599">
        <v>79.324240000000003</v>
      </c>
      <c r="N599">
        <v>17.593800999999999</v>
      </c>
    </row>
    <row r="600" spans="13:14" x14ac:dyDescent="0.3">
      <c r="M600">
        <v>80.225655000000003</v>
      </c>
      <c r="N600">
        <v>17.594480000000001</v>
      </c>
    </row>
    <row r="601" spans="13:14" x14ac:dyDescent="0.3">
      <c r="M601">
        <v>81.127070000000003</v>
      </c>
      <c r="N601">
        <v>17.595137000000001</v>
      </c>
    </row>
    <row r="602" spans="13:14" x14ac:dyDescent="0.3">
      <c r="M602">
        <v>82.028469999999999</v>
      </c>
      <c r="N602">
        <v>17.595776000000001</v>
      </c>
    </row>
    <row r="603" spans="13:14" x14ac:dyDescent="0.3">
      <c r="M603">
        <v>82.929885999999996</v>
      </c>
      <c r="N603">
        <v>17.596394</v>
      </c>
    </row>
    <row r="604" spans="13:14" x14ac:dyDescent="0.3">
      <c r="M604">
        <v>83.831299999999999</v>
      </c>
      <c r="N604">
        <v>17.596992</v>
      </c>
    </row>
    <row r="605" spans="13:14" x14ac:dyDescent="0.3">
      <c r="M605">
        <v>84.732709999999997</v>
      </c>
      <c r="N605">
        <v>17.597574000000002</v>
      </c>
    </row>
    <row r="606" spans="13:14" x14ac:dyDescent="0.3">
      <c r="M606">
        <v>85.634124999999997</v>
      </c>
      <c r="N606">
        <v>17.598137000000001</v>
      </c>
    </row>
    <row r="607" spans="13:14" x14ac:dyDescent="0.3">
      <c r="M607">
        <v>86.535539999999997</v>
      </c>
      <c r="N607">
        <v>17.598680000000002</v>
      </c>
    </row>
    <row r="608" spans="13:14" x14ac:dyDescent="0.3">
      <c r="M608">
        <v>87.436949999999996</v>
      </c>
      <c r="N608">
        <v>17.599208999999998</v>
      </c>
    </row>
    <row r="609" spans="13:14" x14ac:dyDescent="0.3">
      <c r="M609">
        <v>88.338356000000005</v>
      </c>
      <c r="N609">
        <v>17.599723999999998</v>
      </c>
    </row>
    <row r="610" spans="13:14" x14ac:dyDescent="0.3">
      <c r="M610">
        <v>89.239769999999993</v>
      </c>
      <c r="N610">
        <v>17.600227</v>
      </c>
    </row>
    <row r="611" spans="13:14" x14ac:dyDescent="0.3">
      <c r="M611">
        <v>90.141180000000006</v>
      </c>
      <c r="N611">
        <v>17.600715999999998</v>
      </c>
    </row>
    <row r="612" spans="13:14" x14ac:dyDescent="0.3">
      <c r="M612">
        <v>91.042595000000006</v>
      </c>
      <c r="N612">
        <v>17.601189000000002</v>
      </c>
    </row>
    <row r="613" spans="13:14" x14ac:dyDescent="0.3">
      <c r="M613">
        <v>91.944010000000006</v>
      </c>
      <c r="N613">
        <v>17.601645999999999</v>
      </c>
    </row>
    <row r="614" spans="13:14" x14ac:dyDescent="0.3">
      <c r="M614">
        <v>92.845420000000004</v>
      </c>
      <c r="N614">
        <v>17.60209</v>
      </c>
    </row>
    <row r="615" spans="13:14" x14ac:dyDescent="0.3">
      <c r="M615">
        <v>93.746825999999999</v>
      </c>
      <c r="N615">
        <v>17.602522</v>
      </c>
    </row>
    <row r="616" spans="13:14" x14ac:dyDescent="0.3">
      <c r="M616">
        <v>94.648240000000001</v>
      </c>
      <c r="N616">
        <v>17.60294</v>
      </c>
    </row>
    <row r="617" spans="13:14" x14ac:dyDescent="0.3">
      <c r="M617">
        <v>95.54965</v>
      </c>
      <c r="N617">
        <v>17.603342000000001</v>
      </c>
    </row>
    <row r="618" spans="13:14" x14ac:dyDescent="0.3">
      <c r="M618">
        <v>96.451065</v>
      </c>
      <c r="N618">
        <v>17.603729999999999</v>
      </c>
    </row>
    <row r="619" spans="13:14" x14ac:dyDescent="0.3">
      <c r="M619">
        <v>97.35248</v>
      </c>
      <c r="N619">
        <v>17.604105000000001</v>
      </c>
    </row>
    <row r="620" spans="13:14" x14ac:dyDescent="0.3">
      <c r="M620">
        <v>98.253889999999998</v>
      </c>
      <c r="N620">
        <v>17.604465000000001</v>
      </c>
    </row>
    <row r="621" spans="13:14" x14ac:dyDescent="0.3">
      <c r="M621">
        <v>99.155304000000001</v>
      </c>
      <c r="N621">
        <v>17.604810000000001</v>
      </c>
    </row>
    <row r="622" spans="13:14" x14ac:dyDescent="0.3">
      <c r="M622">
        <v>100.05671</v>
      </c>
      <c r="N622">
        <v>17.605143000000002</v>
      </c>
    </row>
    <row r="623" spans="13:14" x14ac:dyDescent="0.3">
      <c r="M623">
        <v>100.95811999999999</v>
      </c>
      <c r="N623">
        <v>17.605460999999998</v>
      </c>
    </row>
    <row r="624" spans="13:14" x14ac:dyDescent="0.3">
      <c r="M624">
        <v>101.85953499999999</v>
      </c>
      <c r="N624">
        <v>17.605779999999999</v>
      </c>
    </row>
    <row r="625" spans="13:14" x14ac:dyDescent="0.3">
      <c r="M625">
        <v>102.76094999999999</v>
      </c>
      <c r="N625">
        <v>17.606092</v>
      </c>
    </row>
    <row r="626" spans="13:14" x14ac:dyDescent="0.3">
      <c r="M626">
        <v>103.66236000000001</v>
      </c>
      <c r="N626">
        <v>17.606394000000002</v>
      </c>
    </row>
    <row r="627" spans="13:14" x14ac:dyDescent="0.3">
      <c r="M627">
        <v>104.563774</v>
      </c>
      <c r="N627">
        <v>17.606686</v>
      </c>
    </row>
    <row r="628" spans="13:14" x14ac:dyDescent="0.3">
      <c r="M628">
        <v>105.46519000000001</v>
      </c>
      <c r="N628">
        <v>17.60697</v>
      </c>
    </row>
    <row r="629" spans="13:14" x14ac:dyDescent="0.3">
      <c r="M629">
        <v>106.36659</v>
      </c>
      <c r="N629">
        <v>17.607243</v>
      </c>
    </row>
    <row r="630" spans="13:14" x14ac:dyDescent="0.3">
      <c r="M630">
        <v>107.268005</v>
      </c>
      <c r="N630">
        <v>17.607506000000001</v>
      </c>
    </row>
    <row r="631" spans="13:14" x14ac:dyDescent="0.3">
      <c r="M631">
        <v>108.16942</v>
      </c>
      <c r="N631">
        <v>17.607761</v>
      </c>
    </row>
    <row r="632" spans="13:14" x14ac:dyDescent="0.3">
      <c r="M632">
        <v>109.07083</v>
      </c>
      <c r="N632">
        <v>17.608006</v>
      </c>
    </row>
    <row r="633" spans="13:14" x14ac:dyDescent="0.3">
      <c r="M633">
        <v>109.972244</v>
      </c>
      <c r="N633">
        <v>17.608242000000001</v>
      </c>
    </row>
    <row r="634" spans="13:14" x14ac:dyDescent="0.3">
      <c r="M634">
        <v>110.87366</v>
      </c>
      <c r="N634">
        <v>17.608468999999999</v>
      </c>
    </row>
    <row r="635" spans="13:14" x14ac:dyDescent="0.3">
      <c r="M635">
        <v>111.77506</v>
      </c>
      <c r="N635">
        <v>17.608685999999999</v>
      </c>
    </row>
    <row r="636" spans="13:14" x14ac:dyDescent="0.3">
      <c r="M636">
        <v>112.67647599999999</v>
      </c>
      <c r="N636">
        <v>17.608896000000001</v>
      </c>
    </row>
    <row r="637" spans="13:14" x14ac:dyDescent="0.3">
      <c r="M637">
        <v>113.57789</v>
      </c>
      <c r="N637">
        <v>17.609096999999998</v>
      </c>
    </row>
    <row r="638" spans="13:14" x14ac:dyDescent="0.3">
      <c r="M638">
        <v>114.47929999999999</v>
      </c>
      <c r="N638">
        <v>17.609286999999998</v>
      </c>
    </row>
    <row r="639" spans="13:14" x14ac:dyDescent="0.3">
      <c r="M639">
        <v>115.380714</v>
      </c>
      <c r="N639">
        <v>17.609477999999999</v>
      </c>
    </row>
    <row r="640" spans="13:14" x14ac:dyDescent="0.3">
      <c r="M640">
        <v>116.28213</v>
      </c>
      <c r="N640">
        <v>17.609665</v>
      </c>
    </row>
    <row r="641" spans="13:14" x14ac:dyDescent="0.3">
      <c r="M641">
        <v>117.18353999999999</v>
      </c>
      <c r="N641">
        <v>17.609846000000001</v>
      </c>
    </row>
    <row r="642" spans="13:14" x14ac:dyDescent="0.3">
      <c r="M642">
        <v>118.084946</v>
      </c>
      <c r="N642">
        <v>17.610019999999999</v>
      </c>
    </row>
    <row r="643" spans="13:14" x14ac:dyDescent="0.3">
      <c r="M643">
        <v>118.98636</v>
      </c>
      <c r="N643">
        <v>17.610188000000001</v>
      </c>
    </row>
    <row r="644" spans="13:14" x14ac:dyDescent="0.3">
      <c r="M644">
        <v>119.88777</v>
      </c>
      <c r="N644">
        <v>17.610351999999999</v>
      </c>
    </row>
    <row r="645" spans="13:14" x14ac:dyDescent="0.3">
      <c r="M645">
        <v>120.789185</v>
      </c>
      <c r="N645">
        <v>17.610507999999999</v>
      </c>
    </row>
    <row r="646" spans="13:14" x14ac:dyDescent="0.3">
      <c r="M646">
        <v>121.6906</v>
      </c>
      <c r="N646">
        <v>17.610659999999999</v>
      </c>
    </row>
    <row r="647" spans="13:14" x14ac:dyDescent="0.3">
      <c r="M647">
        <v>122.59201</v>
      </c>
      <c r="N647">
        <v>17.610806</v>
      </c>
    </row>
    <row r="648" spans="13:14" x14ac:dyDescent="0.3">
      <c r="M648">
        <v>123.49342</v>
      </c>
      <c r="N648">
        <v>17.610949000000002</v>
      </c>
    </row>
    <row r="649" spans="13:14" x14ac:dyDescent="0.3">
      <c r="M649">
        <v>124.39483</v>
      </c>
      <c r="N649">
        <v>17.611084000000002</v>
      </c>
    </row>
    <row r="650" spans="13:14" x14ac:dyDescent="0.3">
      <c r="M650">
        <v>125.29624</v>
      </c>
      <c r="N650">
        <v>17.611215999999999</v>
      </c>
    </row>
    <row r="651" spans="13:14" x14ac:dyDescent="0.3">
      <c r="M651">
        <v>126.197655</v>
      </c>
      <c r="N651">
        <v>17.611343000000002</v>
      </c>
    </row>
    <row r="652" spans="13:14" x14ac:dyDescent="0.3">
      <c r="M652">
        <v>127.09907</v>
      </c>
      <c r="N652">
        <v>17.611464999999999</v>
      </c>
    </row>
    <row r="653" spans="13:14" x14ac:dyDescent="0.3">
      <c r="M653">
        <v>128.00047000000001</v>
      </c>
      <c r="N653">
        <v>17.611584000000001</v>
      </c>
    </row>
    <row r="654" spans="13:14" x14ac:dyDescent="0.3">
      <c r="M654">
        <v>128.90189000000001</v>
      </c>
      <c r="N654">
        <v>17.611699999999999</v>
      </c>
    </row>
    <row r="655" spans="13:14" x14ac:dyDescent="0.3">
      <c r="M655">
        <v>129.80330000000001</v>
      </c>
      <c r="N655">
        <v>17.611809999999998</v>
      </c>
    </row>
    <row r="656" spans="13:14" x14ac:dyDescent="0.3">
      <c r="M656">
        <v>130.70471000000001</v>
      </c>
      <c r="N656">
        <v>17.611920000000001</v>
      </c>
    </row>
    <row r="657" spans="13:14" x14ac:dyDescent="0.3">
      <c r="M657">
        <v>131.60612</v>
      </c>
      <c r="N657">
        <v>17.612024000000002</v>
      </c>
    </row>
    <row r="658" spans="13:14" x14ac:dyDescent="0.3">
      <c r="M658">
        <v>132.50754000000001</v>
      </c>
      <c r="N658">
        <v>17.612124999999999</v>
      </c>
    </row>
    <row r="659" spans="13:14" x14ac:dyDescent="0.3">
      <c r="M659">
        <v>133.40895</v>
      </c>
      <c r="N659">
        <v>17.612223</v>
      </c>
    </row>
    <row r="660" spans="13:14" x14ac:dyDescent="0.3">
      <c r="M660">
        <v>134.31036</v>
      </c>
      <c r="N660">
        <v>17.612317999999998</v>
      </c>
    </row>
    <row r="661" spans="13:14" x14ac:dyDescent="0.3">
      <c r="M661">
        <v>135.21178</v>
      </c>
      <c r="N661">
        <v>17.612410000000001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2CFD0-DD1D-45CD-8B21-413E0426BB3B}">
  <dimension ref="A1:Q662"/>
  <sheetViews>
    <sheetView workbookViewId="0">
      <pane ySplit="6048" topLeftCell="A659"/>
      <selection activeCell="Q4" sqref="Q4"/>
      <selection pane="bottomLeft" activeCell="Q661" sqref="Q661"/>
    </sheetView>
  </sheetViews>
  <sheetFormatPr defaultRowHeight="14.4" x14ac:dyDescent="0.3"/>
  <cols>
    <col min="1" max="1" width="10.21875" bestFit="1" customWidth="1"/>
    <col min="4" max="4" width="13.33203125" bestFit="1" customWidth="1"/>
    <col min="12" max="12" width="8.88671875" customWidth="1"/>
    <col min="13" max="13" width="12" bestFit="1" customWidth="1"/>
    <col min="15" max="15" width="12" bestFit="1" customWidth="1"/>
  </cols>
  <sheetData>
    <row r="1" spans="1:17" x14ac:dyDescent="0.3">
      <c r="A1" t="s">
        <v>6</v>
      </c>
      <c r="B1" t="s">
        <v>10</v>
      </c>
      <c r="C1" t="s">
        <v>11</v>
      </c>
      <c r="D1" s="2"/>
      <c r="E1" s="14" t="s">
        <v>7</v>
      </c>
      <c r="F1" s="15"/>
      <c r="I1" s="16" t="s">
        <v>9</v>
      </c>
      <c r="J1" s="15"/>
      <c r="P1" s="4" t="s">
        <v>6</v>
      </c>
      <c r="Q1" s="5" t="s">
        <v>8</v>
      </c>
    </row>
    <row r="2" spans="1:17" x14ac:dyDescent="0.3">
      <c r="E2" s="4" t="s">
        <v>6</v>
      </c>
      <c r="F2" s="5" t="s">
        <v>8</v>
      </c>
      <c r="I2" s="4" t="s">
        <v>6</v>
      </c>
      <c r="J2" s="5" t="s">
        <v>8</v>
      </c>
      <c r="P2" s="9">
        <v>0</v>
      </c>
      <c r="Q2" s="8">
        <v>-1.2529676999999999</v>
      </c>
    </row>
    <row r="3" spans="1:17" x14ac:dyDescent="0.3">
      <c r="A3" s="1">
        <v>2.8583581999999999E-8</v>
      </c>
      <c r="B3">
        <v>0.46121909999999999</v>
      </c>
      <c r="C3">
        <f>B3-2*PI()*1.68*(0.1187-0.007)</f>
        <v>-0.71785832200409228</v>
      </c>
      <c r="D3">
        <f>B3+0.0073</f>
        <v>0.46851909999999997</v>
      </c>
      <c r="E3" s="6">
        <v>2.8583581454700099E-8</v>
      </c>
      <c r="F3" s="7">
        <v>4.83223712003958E-7</v>
      </c>
      <c r="G3" s="1">
        <f>$B$3+F3</f>
        <v>0.46121958322371198</v>
      </c>
      <c r="I3" s="9">
        <v>0</v>
      </c>
      <c r="J3" s="8">
        <v>-1.2529676999999999</v>
      </c>
      <c r="P3" s="6">
        <v>2.8583581999999999E-8</v>
      </c>
      <c r="Q3" s="8">
        <v>-0.93848089999999995</v>
      </c>
    </row>
    <row r="4" spans="1:17" x14ac:dyDescent="0.3">
      <c r="A4" s="1">
        <v>5.7167163000000001E-8</v>
      </c>
      <c r="B4">
        <v>0.47098489999999998</v>
      </c>
      <c r="C4">
        <f t="shared" ref="C4:C67" si="0">B4-2*PI()*1.68*(0.1187-0.007)</f>
        <v>-0.70809252200409234</v>
      </c>
      <c r="D4">
        <f t="shared" ref="D4:D67" si="1">B4+0.0073</f>
        <v>0.47828489999999996</v>
      </c>
      <c r="E4" s="6">
        <v>5.79899209758162E-8</v>
      </c>
      <c r="F4" s="7">
        <v>9.8035667493802899E-7</v>
      </c>
      <c r="G4" s="1">
        <f t="shared" ref="G4:G67" si="2">$B$3+F4</f>
        <v>0.46122008035667494</v>
      </c>
      <c r="I4" s="6">
        <v>2.8583581999999999E-8</v>
      </c>
      <c r="J4" s="8">
        <v>-0.93739609999999995</v>
      </c>
      <c r="L4">
        <f>0.007*2*PI()*1.68</f>
        <v>7.3890259212431933E-2</v>
      </c>
      <c r="P4" s="6">
        <v>5.7167163000000001E-8</v>
      </c>
      <c r="Q4" s="8">
        <v>-0.94123440000000003</v>
      </c>
    </row>
    <row r="5" spans="1:17" x14ac:dyDescent="0.3">
      <c r="A5" s="1">
        <v>8.5750739999999995E-8</v>
      </c>
      <c r="B5">
        <v>0.47894487000000002</v>
      </c>
      <c r="C5">
        <f t="shared" si="0"/>
        <v>-0.70013255200409219</v>
      </c>
      <c r="D5">
        <f t="shared" si="1"/>
        <v>0.48624487</v>
      </c>
      <c r="E5" s="6">
        <v>8.8242701069227598E-8</v>
      </c>
      <c r="F5" s="7">
        <v>1.49179925669938E-6</v>
      </c>
      <c r="G5" s="1">
        <f t="shared" si="2"/>
        <v>0.46122059179925667</v>
      </c>
      <c r="I5" s="6">
        <v>5.7167163000000001E-8</v>
      </c>
      <c r="J5" s="8">
        <v>-0.94102209999999997</v>
      </c>
      <c r="L5">
        <f>2*PI()*1.68*6*15/(0.1814*4200)</f>
        <v>1.2469386497159045</v>
      </c>
      <c r="P5" s="6">
        <v>8.5750739999999995E-8</v>
      </c>
      <c r="Q5" s="8">
        <v>-0.94128655999999999</v>
      </c>
    </row>
    <row r="6" spans="1:17" x14ac:dyDescent="0.3">
      <c r="A6" s="1">
        <v>1.1433433E-7</v>
      </c>
      <c r="B6">
        <v>0.48518973999999998</v>
      </c>
      <c r="C6">
        <f t="shared" si="0"/>
        <v>-0.69388768200409223</v>
      </c>
      <c r="D6">
        <f t="shared" si="1"/>
        <v>0.49248973999999995</v>
      </c>
      <c r="E6" s="6">
        <v>1.1936628592490401E-7</v>
      </c>
      <c r="F6" s="7">
        <v>2.0179633494903998E-6</v>
      </c>
      <c r="G6" s="1">
        <f t="shared" si="2"/>
        <v>0.46122111796334947</v>
      </c>
      <c r="I6" s="6">
        <v>8.5750739999999995E-8</v>
      </c>
      <c r="J6" s="8">
        <v>-0.94124496000000002</v>
      </c>
      <c r="L6">
        <f>B3+L4</f>
        <v>0.53510935921243197</v>
      </c>
      <c r="M6">
        <f>2*L6</f>
        <v>1.0702187184248639</v>
      </c>
      <c r="P6" s="6">
        <v>1.1433433E-7</v>
      </c>
      <c r="Q6" s="8">
        <v>-0.94128869999999998</v>
      </c>
    </row>
    <row r="7" spans="1:17" x14ac:dyDescent="0.3">
      <c r="A7" s="1">
        <v>1.4291791E-7</v>
      </c>
      <c r="B7">
        <v>0.49062228000000002</v>
      </c>
      <c r="C7">
        <f t="shared" si="0"/>
        <v>-0.6884551420040923</v>
      </c>
      <c r="D7">
        <f t="shared" si="1"/>
        <v>0.49792227999999999</v>
      </c>
      <c r="E7" s="6">
        <v>1.51385741038701E-7</v>
      </c>
      <c r="F7" s="7">
        <v>2.55927270153762E-6</v>
      </c>
      <c r="G7" s="1">
        <f t="shared" si="2"/>
        <v>0.46122165927270153</v>
      </c>
      <c r="I7" s="6">
        <v>1.1433433E-7</v>
      </c>
      <c r="J7" s="8">
        <v>-0.9412857</v>
      </c>
      <c r="P7" s="6">
        <v>1.4291791E-7</v>
      </c>
      <c r="Q7" s="8">
        <v>-0.94128860000000003</v>
      </c>
    </row>
    <row r="8" spans="1:17" x14ac:dyDescent="0.3">
      <c r="A8" s="1">
        <v>1.7150147999999999E-7</v>
      </c>
      <c r="B8">
        <v>0.49511280000000002</v>
      </c>
      <c r="C8">
        <f t="shared" si="0"/>
        <v>-0.68396462200409225</v>
      </c>
      <c r="D8">
        <f t="shared" si="1"/>
        <v>0.50241279999999999</v>
      </c>
      <c r="E8" s="6">
        <v>1.84326853398944E-7</v>
      </c>
      <c r="F8" s="7">
        <v>3.1161632583589601E-6</v>
      </c>
      <c r="G8" s="1">
        <f t="shared" si="2"/>
        <v>0.46122221616325837</v>
      </c>
      <c r="I8" s="6">
        <v>1.4291791E-7</v>
      </c>
      <c r="J8" s="8">
        <v>-0.94128990000000001</v>
      </c>
      <c r="L8">
        <f>2*PI()*1.68*(0.1187-0.007)</f>
        <v>1.1790774220040923</v>
      </c>
      <c r="P8" s="6">
        <v>1.7150147999999999E-7</v>
      </c>
      <c r="Q8" s="8">
        <v>-0.94128822999999995</v>
      </c>
    </row>
    <row r="9" spans="1:17" x14ac:dyDescent="0.3">
      <c r="A9" s="1">
        <v>2.0008507E-7</v>
      </c>
      <c r="B9">
        <v>0.49952026999999999</v>
      </c>
      <c r="C9">
        <f t="shared" si="0"/>
        <v>-0.67955715200409228</v>
      </c>
      <c r="D9">
        <f t="shared" si="1"/>
        <v>0.50682026999999996</v>
      </c>
      <c r="E9" s="6">
        <v>2.1821615225408301E-7</v>
      </c>
      <c r="F9" s="7">
        <v>3.6890835138540601E-6</v>
      </c>
      <c r="G9" s="1">
        <f t="shared" si="2"/>
        <v>0.46122278908351383</v>
      </c>
      <c r="I9" s="6">
        <v>1.7150147999999999E-7</v>
      </c>
      <c r="J9" s="8">
        <v>-0.94129056</v>
      </c>
      <c r="L9">
        <f>L4-L8</f>
        <v>-1.1051871627916603</v>
      </c>
      <c r="P9" s="6">
        <v>2.0008507E-7</v>
      </c>
      <c r="Q9" s="8">
        <v>-0.94128789999999996</v>
      </c>
    </row>
    <row r="10" spans="1:17" x14ac:dyDescent="0.3">
      <c r="A10" s="1">
        <v>2.2866865E-7</v>
      </c>
      <c r="B10">
        <v>0.50352419999999998</v>
      </c>
      <c r="C10">
        <f t="shared" si="0"/>
        <v>-0.67555322200409229</v>
      </c>
      <c r="D10">
        <f t="shared" si="1"/>
        <v>0.51082419999999995</v>
      </c>
      <c r="E10" s="6">
        <v>2.53080930478119E-7</v>
      </c>
      <c r="F10" s="7">
        <v>4.2784948715005401E-6</v>
      </c>
      <c r="G10" s="1">
        <f t="shared" si="2"/>
        <v>0.46122337849487149</v>
      </c>
      <c r="I10" s="6">
        <v>2.0008507E-7</v>
      </c>
      <c r="J10" s="8">
        <v>-0.94129059999999998</v>
      </c>
      <c r="P10" s="6">
        <v>2.2866865E-7</v>
      </c>
      <c r="Q10" s="8">
        <v>-0.94128750000000005</v>
      </c>
    </row>
    <row r="11" spans="1:17" x14ac:dyDescent="0.3">
      <c r="A11" s="1">
        <v>2.5725222000000001E-7</v>
      </c>
      <c r="B11">
        <v>0.50712466</v>
      </c>
      <c r="C11">
        <f t="shared" si="0"/>
        <v>-0.67195276200409226</v>
      </c>
      <c r="D11">
        <f t="shared" si="1"/>
        <v>0.51442465999999998</v>
      </c>
      <c r="E11" s="6">
        <v>2.8894926655102298E-7</v>
      </c>
      <c r="F11" s="7">
        <v>4.8848720159470102E-6</v>
      </c>
      <c r="G11" s="1">
        <f t="shared" si="2"/>
        <v>0.46122398487201594</v>
      </c>
      <c r="I11" s="6">
        <v>2.2866865E-7</v>
      </c>
      <c r="J11" s="8">
        <v>-0.94129074000000001</v>
      </c>
      <c r="L11">
        <f>0.1814*4200*0.4/90</f>
        <v>3.3861333333333334</v>
      </c>
      <c r="M11" t="s">
        <v>23</v>
      </c>
      <c r="N11">
        <f>L11*2</f>
        <v>6.7722666666666669</v>
      </c>
      <c r="P11" s="6">
        <v>2.5725222000000001E-7</v>
      </c>
      <c r="Q11" s="8">
        <v>-0.94128716000000001</v>
      </c>
    </row>
    <row r="12" spans="1:17" x14ac:dyDescent="0.3">
      <c r="A12" s="1">
        <v>2.8583582E-7</v>
      </c>
      <c r="B12">
        <v>0.51008819999999999</v>
      </c>
      <c r="C12">
        <f t="shared" si="0"/>
        <v>-0.66898922200409228</v>
      </c>
      <c r="D12">
        <f t="shared" si="1"/>
        <v>0.51738819999999996</v>
      </c>
      <c r="E12" s="6">
        <v>3.2585004717184603E-7</v>
      </c>
      <c r="F12" s="7">
        <v>5.5087032953021698E-6</v>
      </c>
      <c r="G12" s="1">
        <f t="shared" si="2"/>
        <v>0.46122460870329529</v>
      </c>
      <c r="I12" s="6">
        <v>2.5725222000000001E-7</v>
      </c>
      <c r="J12" s="8">
        <v>-0.94129059999999998</v>
      </c>
      <c r="L12">
        <f>L11*(0.1187)</f>
        <v>0.40193402666666667</v>
      </c>
      <c r="P12" s="6">
        <v>2.8583582E-7</v>
      </c>
      <c r="Q12" s="8">
        <v>-0.94128690000000004</v>
      </c>
    </row>
    <row r="13" spans="1:17" x14ac:dyDescent="0.3">
      <c r="A13" s="1">
        <v>3.1441940000000003E-7</v>
      </c>
      <c r="B13">
        <v>0.51258062999999998</v>
      </c>
      <c r="C13">
        <f t="shared" si="0"/>
        <v>-0.66649679200409229</v>
      </c>
      <c r="D13">
        <f t="shared" si="1"/>
        <v>0.51988062999999995</v>
      </c>
      <c r="E13" s="6">
        <v>3.6381299052272999E-7</v>
      </c>
      <c r="F13" s="7">
        <v>6.15049111442773E-6</v>
      </c>
      <c r="G13" s="1">
        <f t="shared" si="2"/>
        <v>0.4612252504911144</v>
      </c>
      <c r="I13" s="6">
        <v>2.8583582E-7</v>
      </c>
      <c r="J13" s="8">
        <v>-0.94129056</v>
      </c>
      <c r="P13" s="6">
        <v>3.1441940000000003E-7</v>
      </c>
      <c r="Q13" s="8">
        <v>-0.94128670000000003</v>
      </c>
    </row>
    <row r="14" spans="1:17" x14ac:dyDescent="0.3">
      <c r="A14" s="1">
        <v>3.4300297000000001E-7</v>
      </c>
      <c r="B14">
        <v>0.51507305999999997</v>
      </c>
      <c r="C14">
        <f t="shared" si="0"/>
        <v>-0.6640043620040923</v>
      </c>
      <c r="D14">
        <f t="shared" si="1"/>
        <v>0.52237305999999994</v>
      </c>
      <c r="E14" s="6">
        <v>4.0286867020255602E-7</v>
      </c>
      <c r="F14" s="7">
        <v>6.81075233955213E-6</v>
      </c>
      <c r="G14" s="1">
        <f t="shared" si="2"/>
        <v>0.46122591075233954</v>
      </c>
      <c r="I14" s="6">
        <v>3.1441940000000003E-7</v>
      </c>
      <c r="J14" s="8">
        <v>-0.94129050000000003</v>
      </c>
      <c r="P14" s="6">
        <v>3.4300297000000001E-7</v>
      </c>
      <c r="Q14" s="8">
        <v>-0.94128639999999997</v>
      </c>
    </row>
    <row r="15" spans="1:17" x14ac:dyDescent="0.3">
      <c r="A15" s="1">
        <v>3.7158657000000001E-7</v>
      </c>
      <c r="B15">
        <v>0.51756550000000001</v>
      </c>
      <c r="C15">
        <f t="shared" si="0"/>
        <v>-0.66151192200409226</v>
      </c>
      <c r="D15">
        <f t="shared" si="1"/>
        <v>0.52486549999999998</v>
      </c>
      <c r="E15" s="6">
        <v>4.4304853984950902E-7</v>
      </c>
      <c r="F15" s="7">
        <v>7.4900187145305901E-6</v>
      </c>
      <c r="G15" s="1">
        <f t="shared" si="2"/>
        <v>0.46122659001871452</v>
      </c>
      <c r="I15" s="6">
        <v>3.4300297000000001E-7</v>
      </c>
      <c r="J15" s="8">
        <v>-0.94129043999999995</v>
      </c>
      <c r="P15" s="6">
        <v>3.7158657000000001E-7</v>
      </c>
      <c r="Q15" s="8">
        <v>-0.94128615000000004</v>
      </c>
    </row>
    <row r="16" spans="1:17" x14ac:dyDescent="0.3">
      <c r="A16" s="1">
        <v>4.0017013999999999E-7</v>
      </c>
      <c r="B16">
        <v>0.52005789999999996</v>
      </c>
      <c r="C16">
        <f t="shared" si="0"/>
        <v>-0.65901952200409231</v>
      </c>
      <c r="D16">
        <f t="shared" si="1"/>
        <v>0.52735789999999994</v>
      </c>
      <c r="E16" s="6">
        <v>4.8438495847238301E-7</v>
      </c>
      <c r="F16" s="7">
        <v>8.1888372890871507E-6</v>
      </c>
      <c r="G16" s="1">
        <f t="shared" si="2"/>
        <v>0.46122728883728908</v>
      </c>
      <c r="I16" s="6">
        <v>3.7158657000000001E-7</v>
      </c>
      <c r="J16" s="8">
        <v>-0.94129030000000002</v>
      </c>
      <c r="P16" s="6">
        <v>4.0017013999999999E-7</v>
      </c>
      <c r="Q16" s="8">
        <v>-0.94128590000000001</v>
      </c>
    </row>
    <row r="17" spans="1:17" x14ac:dyDescent="0.3">
      <c r="A17" s="1">
        <v>4.287537E-7</v>
      </c>
      <c r="B17">
        <v>0.52255039999999997</v>
      </c>
      <c r="C17">
        <f t="shared" si="0"/>
        <v>-0.6565270220040923</v>
      </c>
      <c r="D17">
        <f t="shared" si="1"/>
        <v>0.52985039999999994</v>
      </c>
      <c r="E17" s="6">
        <v>5.2691121651102802E-7</v>
      </c>
      <c r="F17" s="7">
        <v>8.9077708593830799E-6</v>
      </c>
      <c r="G17" s="1">
        <f t="shared" si="2"/>
        <v>0.46122800777085937</v>
      </c>
      <c r="I17" s="6">
        <v>4.0017013999999999E-7</v>
      </c>
      <c r="J17" s="8">
        <v>-0.94129026000000005</v>
      </c>
      <c r="L17" t="s">
        <v>12</v>
      </c>
      <c r="M17">
        <f>3.498512*10^7</f>
        <v>34985120</v>
      </c>
      <c r="O17">
        <f>25*8760*3600/M17</f>
        <v>22.535295005419446</v>
      </c>
      <c r="P17" s="6">
        <v>4.287537E-7</v>
      </c>
      <c r="Q17" s="8">
        <v>-0.9412857</v>
      </c>
    </row>
    <row r="18" spans="1:17" x14ac:dyDescent="0.3">
      <c r="A18" s="1">
        <v>4.5733729999999999E-7</v>
      </c>
      <c r="B18">
        <v>0.52490800000000004</v>
      </c>
      <c r="C18">
        <f t="shared" si="0"/>
        <v>-0.65416942200409223</v>
      </c>
      <c r="D18">
        <f t="shared" si="1"/>
        <v>0.53220800000000001</v>
      </c>
      <c r="E18" s="6">
        <v>5.7066156264693402E-7</v>
      </c>
      <c r="F18" s="7">
        <v>9.6473984212670198E-6</v>
      </c>
      <c r="G18" s="1">
        <f t="shared" si="2"/>
        <v>0.46122874739842123</v>
      </c>
      <c r="I18" s="6">
        <v>4.287537E-7</v>
      </c>
      <c r="J18" s="8">
        <v>-0.94129019999999997</v>
      </c>
      <c r="M18">
        <f>M17*3.45*10^-5</f>
        <v>1206.9866400000001</v>
      </c>
      <c r="P18" s="6">
        <v>4.5733729999999999E-7</v>
      </c>
      <c r="Q18" s="8">
        <v>-0.94128555000000003</v>
      </c>
    </row>
    <row r="19" spans="1:17" x14ac:dyDescent="0.3">
      <c r="A19" s="1">
        <v>4.8592089999999998E-7</v>
      </c>
      <c r="B19">
        <v>0.52706337000000003</v>
      </c>
      <c r="C19">
        <f t="shared" si="0"/>
        <v>-0.65201405200409224</v>
      </c>
      <c r="D19">
        <f t="shared" si="1"/>
        <v>0.53436337</v>
      </c>
      <c r="E19" s="6">
        <v>6.15671231385533E-7</v>
      </c>
      <c r="F19" s="7">
        <v>1.04083156365713E-5</v>
      </c>
      <c r="G19" s="1">
        <f t="shared" si="2"/>
        <v>0.46122950831563658</v>
      </c>
      <c r="I19" s="6">
        <v>4.5733729999999999E-7</v>
      </c>
      <c r="J19" s="8">
        <v>-0.94129014</v>
      </c>
      <c r="M19">
        <f>M18/60</f>
        <v>20.116444000000001</v>
      </c>
      <c r="P19" s="6">
        <v>4.8592089999999998E-7</v>
      </c>
      <c r="Q19" s="8">
        <v>-0.94128540000000005</v>
      </c>
    </row>
    <row r="20" spans="1:17" x14ac:dyDescent="0.3">
      <c r="A20" s="1">
        <v>5.1450444999999995E-7</v>
      </c>
      <c r="B20">
        <v>0.52921879999999999</v>
      </c>
      <c r="C20">
        <f t="shared" si="0"/>
        <v>-0.64985862200409228</v>
      </c>
      <c r="D20">
        <f t="shared" si="1"/>
        <v>0.53651879999999996</v>
      </c>
      <c r="E20" s="6">
        <v>6.6197647143243897E-7</v>
      </c>
      <c r="F20" s="7">
        <v>1.11911353128306E-5</v>
      </c>
      <c r="G20" s="1">
        <f t="shared" si="2"/>
        <v>0.46123029113531283</v>
      </c>
      <c r="I20" s="6">
        <v>4.8592089999999998E-7</v>
      </c>
      <c r="J20" s="8">
        <v>-0.94129010000000002</v>
      </c>
      <c r="P20" s="6">
        <v>5.1450444999999995E-7</v>
      </c>
      <c r="Q20" s="8">
        <v>-0.94128513000000003</v>
      </c>
    </row>
    <row r="21" spans="1:17" x14ac:dyDescent="0.3">
      <c r="A21" s="1">
        <v>5.4308805E-7</v>
      </c>
      <c r="B21">
        <v>0.53137416000000004</v>
      </c>
      <c r="C21">
        <f t="shared" si="0"/>
        <v>-0.64770326200409223</v>
      </c>
      <c r="D21">
        <f t="shared" si="1"/>
        <v>0.53867416000000001</v>
      </c>
      <c r="E21" s="6">
        <v>7.0961457488648402E-7</v>
      </c>
      <c r="F21" s="7">
        <v>1.19964878968087E-5</v>
      </c>
      <c r="G21" s="1">
        <f t="shared" si="2"/>
        <v>0.46123109648789679</v>
      </c>
      <c r="I21" s="6">
        <v>5.1450444999999995E-7</v>
      </c>
      <c r="J21" s="8">
        <v>-0.94128999999999996</v>
      </c>
      <c r="L21" t="s">
        <v>13</v>
      </c>
      <c r="M21">
        <v>0.18140000000000001</v>
      </c>
      <c r="N21" t="s">
        <v>14</v>
      </c>
      <c r="P21" s="6">
        <v>5.4308805E-7</v>
      </c>
      <c r="Q21" s="8">
        <v>-0.94128495000000001</v>
      </c>
    </row>
    <row r="22" spans="1:17" x14ac:dyDescent="0.3">
      <c r="A22" s="1">
        <v>5.7167165000000004E-7</v>
      </c>
      <c r="B22">
        <v>0.53352960000000005</v>
      </c>
      <c r="C22">
        <f t="shared" si="0"/>
        <v>-0.64554782200409222</v>
      </c>
      <c r="D22">
        <f t="shared" si="1"/>
        <v>0.54082960000000002</v>
      </c>
      <c r="E22" s="6">
        <v>7.5862390727304397E-7</v>
      </c>
      <c r="F22" s="7">
        <v>1.2825021982231201E-5</v>
      </c>
      <c r="G22" s="1">
        <f t="shared" si="2"/>
        <v>0.46123192502198224</v>
      </c>
      <c r="I22" s="6">
        <v>5.4308805E-7</v>
      </c>
      <c r="J22" s="8">
        <v>-0.94128995999999998</v>
      </c>
      <c r="L22" t="s">
        <v>15</v>
      </c>
      <c r="M22">
        <f>M21/1000</f>
        <v>1.8140000000000002E-4</v>
      </c>
      <c r="N22" t="s">
        <v>16</v>
      </c>
      <c r="P22" s="6">
        <v>5.7167165000000004E-7</v>
      </c>
      <c r="Q22" s="8">
        <v>-0.94128484000000001</v>
      </c>
    </row>
    <row r="23" spans="1:17" x14ac:dyDescent="0.3">
      <c r="A23" s="1">
        <v>6.0025520000000001E-7</v>
      </c>
      <c r="B23">
        <v>0.53568494</v>
      </c>
      <c r="C23">
        <f t="shared" si="0"/>
        <v>-0.64339248200409227</v>
      </c>
      <c r="D23">
        <f t="shared" si="1"/>
        <v>0.54298493999999997</v>
      </c>
      <c r="E23" s="6">
        <v>8.0904393844186103E-7</v>
      </c>
      <c r="F23" s="7">
        <v>1.3677404832132801E-5</v>
      </c>
      <c r="G23" s="1">
        <f t="shared" si="2"/>
        <v>0.46123277740483215</v>
      </c>
      <c r="I23" s="6">
        <v>5.7167165000000004E-7</v>
      </c>
      <c r="J23" s="8">
        <v>-0.94128990000000001</v>
      </c>
      <c r="L23" t="s">
        <v>17</v>
      </c>
      <c r="M23">
        <f>PI()*0.026^2/4</f>
        <v>5.3092915845667494E-4</v>
      </c>
      <c r="N23" t="s">
        <v>18</v>
      </c>
      <c r="P23" s="6">
        <v>6.0025520000000001E-7</v>
      </c>
      <c r="Q23" s="8">
        <v>-0.94128466</v>
      </c>
    </row>
    <row r="24" spans="1:17" x14ac:dyDescent="0.3">
      <c r="A24" s="1">
        <v>6.2883880000000005E-7</v>
      </c>
      <c r="B24">
        <v>0.5377343</v>
      </c>
      <c r="C24">
        <f t="shared" si="0"/>
        <v>-0.64134312200409227</v>
      </c>
      <c r="D24">
        <f t="shared" si="1"/>
        <v>0.54503429999999997</v>
      </c>
      <c r="E24" s="6">
        <v>8.6091527435423703E-7</v>
      </c>
      <c r="F24" s="7">
        <v>1.45543229162402E-5</v>
      </c>
      <c r="G24" s="1">
        <f t="shared" si="2"/>
        <v>0.46123365432291624</v>
      </c>
      <c r="I24" s="6">
        <v>6.0025520000000001E-7</v>
      </c>
      <c r="J24" s="8">
        <v>-0.94128984000000004</v>
      </c>
      <c r="L24" t="s">
        <v>19</v>
      </c>
      <c r="M24">
        <f>6*15</f>
        <v>90</v>
      </c>
      <c r="N24" t="s">
        <v>13</v>
      </c>
      <c r="P24" s="6">
        <v>6.2883880000000005E-7</v>
      </c>
      <c r="Q24" s="8">
        <v>-0.94128449999999997</v>
      </c>
    </row>
    <row r="25" spans="1:17" x14ac:dyDescent="0.3">
      <c r="A25" s="1">
        <v>6.5742239999999999E-7</v>
      </c>
      <c r="B25">
        <v>0.53962463000000005</v>
      </c>
      <c r="C25">
        <f t="shared" si="0"/>
        <v>-0.63945279200409222</v>
      </c>
      <c r="D25">
        <f t="shared" si="1"/>
        <v>0.54692463000000002</v>
      </c>
      <c r="E25" s="6">
        <v>9.1427968978519201E-7</v>
      </c>
      <c r="F25" s="7">
        <v>1.54564824638229E-5</v>
      </c>
      <c r="G25" s="1">
        <f t="shared" si="2"/>
        <v>0.46123455648246381</v>
      </c>
      <c r="I25" s="6">
        <v>6.2883880000000005E-7</v>
      </c>
      <c r="J25" s="8">
        <v>-0.94128979999999995</v>
      </c>
      <c r="L25" t="s">
        <v>20</v>
      </c>
      <c r="M25">
        <f>(M22/M23/M24)^-1</f>
        <v>263.41578975248478</v>
      </c>
      <c r="N25" t="s">
        <v>21</v>
      </c>
      <c r="P25" s="6">
        <v>6.5742239999999999E-7</v>
      </c>
      <c r="Q25" s="8">
        <v>-0.94128436000000004</v>
      </c>
    </row>
    <row r="26" spans="1:17" x14ac:dyDescent="0.3">
      <c r="A26" s="1">
        <v>6.8600592999999999E-7</v>
      </c>
      <c r="B26">
        <v>0.54151499999999997</v>
      </c>
      <c r="C26">
        <f t="shared" si="0"/>
        <v>-0.6375624220040923</v>
      </c>
      <c r="D26">
        <f t="shared" si="1"/>
        <v>0.54881499999999994</v>
      </c>
      <c r="E26" s="6">
        <v>9.6918016196694306E-7</v>
      </c>
      <c r="F26" s="7">
        <v>1.6384610032458099E-5</v>
      </c>
      <c r="G26" s="1">
        <f t="shared" si="2"/>
        <v>0.46123548461003244</v>
      </c>
      <c r="I26" s="6">
        <v>6.5742239999999999E-7</v>
      </c>
      <c r="J26" s="8">
        <v>-0.94128970000000001</v>
      </c>
      <c r="M26">
        <f>M25/60</f>
        <v>4.3902631625414132</v>
      </c>
      <c r="N26" t="s">
        <v>22</v>
      </c>
      <c r="P26" s="6">
        <v>6.8600592999999999E-7</v>
      </c>
      <c r="Q26" s="8">
        <v>-0.94128423999999999</v>
      </c>
    </row>
    <row r="27" spans="1:17" x14ac:dyDescent="0.3">
      <c r="A27" s="1">
        <v>7.1458953000000004E-7</v>
      </c>
      <c r="B27">
        <v>0.54340529999999998</v>
      </c>
      <c r="C27">
        <f t="shared" si="0"/>
        <v>-0.63567212200409229</v>
      </c>
      <c r="D27">
        <f t="shared" si="1"/>
        <v>0.55070529999999995</v>
      </c>
      <c r="E27" s="6">
        <v>1.02566090520077E-6</v>
      </c>
      <c r="F27" s="7">
        <v>1.7339453093165801E-5</v>
      </c>
      <c r="G27" s="1">
        <f t="shared" si="2"/>
        <v>0.46123643945309317</v>
      </c>
      <c r="I27" s="6">
        <v>6.8600592999999999E-7</v>
      </c>
      <c r="J27" s="8">
        <v>-0.94128966000000003</v>
      </c>
      <c r="P27" s="6">
        <v>7.1458953000000004E-7</v>
      </c>
      <c r="Q27" s="8">
        <v>-0.94128409999999996</v>
      </c>
    </row>
    <row r="28" spans="1:17" x14ac:dyDescent="0.3">
      <c r="A28" s="1">
        <v>7.4317312999999998E-7</v>
      </c>
      <c r="B28">
        <v>0.54529565999999996</v>
      </c>
      <c r="C28">
        <f t="shared" si="0"/>
        <v>-0.63378176200409231</v>
      </c>
      <c r="D28">
        <f t="shared" si="1"/>
        <v>0.55259565999999993</v>
      </c>
      <c r="E28" s="6">
        <v>1.0837674064651799E-6</v>
      </c>
      <c r="F28" s="7">
        <v>1.83217806323879E-5</v>
      </c>
      <c r="G28" s="1">
        <f t="shared" si="2"/>
        <v>0.46123742178063237</v>
      </c>
      <c r="I28" s="6">
        <v>7.1458953000000004E-7</v>
      </c>
      <c r="J28" s="8">
        <v>-0.94128966000000003</v>
      </c>
      <c r="P28" s="6">
        <v>7.4317312999999998E-7</v>
      </c>
      <c r="Q28" s="8">
        <v>-0.94128400000000001</v>
      </c>
    </row>
    <row r="29" spans="1:17" x14ac:dyDescent="0.3">
      <c r="A29" s="1">
        <v>7.7175670000000002E-7</v>
      </c>
      <c r="B29">
        <v>0.54718595999999997</v>
      </c>
      <c r="C29">
        <f t="shared" si="0"/>
        <v>-0.6318914620040923</v>
      </c>
      <c r="D29">
        <f t="shared" si="1"/>
        <v>0.55448595999999994</v>
      </c>
      <c r="E29" s="6">
        <v>1.1435464620490101E-6</v>
      </c>
      <c r="F29" s="7">
        <v>1.93323837712944E-5</v>
      </c>
      <c r="G29" s="1">
        <f t="shared" si="2"/>
        <v>0.46123843238377127</v>
      </c>
      <c r="I29" s="6">
        <v>7.4317312999999998E-7</v>
      </c>
      <c r="J29" s="8">
        <v>-0.94128959999999995</v>
      </c>
      <c r="P29" s="6">
        <v>7.7175670000000002E-7</v>
      </c>
      <c r="Q29" s="8">
        <v>-0.94128389999999995</v>
      </c>
    </row>
    <row r="30" spans="1:17" x14ac:dyDescent="0.3">
      <c r="A30" s="1">
        <v>8.0034029999999996E-7</v>
      </c>
      <c r="B30">
        <v>0.54904496999999997</v>
      </c>
      <c r="C30">
        <f t="shared" si="0"/>
        <v>-0.6300324520040923</v>
      </c>
      <c r="D30">
        <f t="shared" si="1"/>
        <v>0.55634496999999994</v>
      </c>
      <c r="E30" s="6">
        <v>1.2050462152389901E-6</v>
      </c>
      <c r="F30" s="7">
        <v>2.0372076402915401E-5</v>
      </c>
      <c r="G30" s="1">
        <f t="shared" si="2"/>
        <v>0.46123947207640292</v>
      </c>
      <c r="I30" s="6">
        <v>7.7175670000000002E-7</v>
      </c>
      <c r="J30" s="8">
        <v>-0.94128953999999998</v>
      </c>
      <c r="L30">
        <f>(0.2-L11*0.007)*(2*PI()*1.68)/L11</f>
        <v>0.54957906564552028</v>
      </c>
      <c r="P30" s="6">
        <v>8.0034029999999996E-7</v>
      </c>
      <c r="Q30" s="8">
        <v>-0.94128376000000002</v>
      </c>
    </row>
    <row r="31" spans="1:17" x14ac:dyDescent="0.3">
      <c r="A31" s="1">
        <v>8.289239E-7</v>
      </c>
      <c r="B31">
        <v>0.55083965999999995</v>
      </c>
      <c r="C31">
        <f t="shared" si="0"/>
        <v>-0.62823776200409231</v>
      </c>
      <c r="D31">
        <f t="shared" si="1"/>
        <v>0.55813965999999993</v>
      </c>
      <c r="E31" s="6">
        <v>1.2683161950921301E-6</v>
      </c>
      <c r="F31" s="7">
        <v>2.14416958476132E-5</v>
      </c>
      <c r="G31" s="1">
        <f t="shared" si="2"/>
        <v>0.46124054169584761</v>
      </c>
      <c r="I31" s="6">
        <v>8.0034029999999996E-7</v>
      </c>
      <c r="J31" s="8">
        <v>-0.9412895</v>
      </c>
      <c r="P31" s="6">
        <v>8.289239E-7</v>
      </c>
      <c r="Q31" s="8">
        <v>-0.94128363999999998</v>
      </c>
    </row>
    <row r="32" spans="1:17" x14ac:dyDescent="0.3">
      <c r="A32" s="1">
        <v>8.575074E-7</v>
      </c>
      <c r="B32">
        <v>0.55260989999999999</v>
      </c>
      <c r="C32">
        <f t="shared" si="0"/>
        <v>-0.62646752200409228</v>
      </c>
      <c r="D32">
        <f t="shared" si="1"/>
        <v>0.55990989999999996</v>
      </c>
      <c r="E32" s="6">
        <v>1.3334073563241199E-6</v>
      </c>
      <c r="F32" s="7">
        <v>2.2542103527421199E-5</v>
      </c>
      <c r="G32" s="1">
        <f t="shared" si="2"/>
        <v>0.46124164210352742</v>
      </c>
      <c r="I32" s="6">
        <v>8.289239E-7</v>
      </c>
      <c r="J32" s="8">
        <v>-0.94128940000000005</v>
      </c>
      <c r="P32" s="6">
        <v>8.575074E-7</v>
      </c>
      <c r="Q32" s="8">
        <v>-0.94128350000000005</v>
      </c>
    </row>
    <row r="33" spans="1:17" x14ac:dyDescent="0.3">
      <c r="A33" s="1">
        <v>8.8609100000000004E-7</v>
      </c>
      <c r="B33">
        <v>0.55435559999999995</v>
      </c>
      <c r="C33">
        <f t="shared" si="0"/>
        <v>-0.62472182200409232</v>
      </c>
      <c r="D33">
        <f t="shared" si="1"/>
        <v>0.56165559999999992</v>
      </c>
      <c r="E33" s="6">
        <v>1.4003721203459101E-6</v>
      </c>
      <c r="F33" s="7">
        <v>2.36741856597936E-5</v>
      </c>
      <c r="G33" s="1">
        <f t="shared" si="2"/>
        <v>0.46124277418565979</v>
      </c>
      <c r="I33" s="6">
        <v>8.575074E-7</v>
      </c>
      <c r="J33" s="8">
        <v>-0.94128940000000005</v>
      </c>
      <c r="P33" s="6">
        <v>8.8609100000000004E-7</v>
      </c>
      <c r="Q33" s="8">
        <v>-0.94128339999999999</v>
      </c>
    </row>
    <row r="34" spans="1:17" x14ac:dyDescent="0.3">
      <c r="A34" s="1">
        <v>9.1467459999999998E-7</v>
      </c>
      <c r="B34">
        <v>0.55607680000000004</v>
      </c>
      <c r="C34">
        <f t="shared" si="0"/>
        <v>-0.62300062200409223</v>
      </c>
      <c r="D34">
        <f t="shared" si="1"/>
        <v>0.56337680000000001</v>
      </c>
      <c r="E34" s="6">
        <v>1.46926441748149E-6</v>
      </c>
      <c r="F34" s="7">
        <v>2.4838853971323901E-5</v>
      </c>
      <c r="G34" s="1">
        <f t="shared" si="2"/>
        <v>0.4612439388539713</v>
      </c>
      <c r="I34" s="6">
        <v>8.8609100000000004E-7</v>
      </c>
      <c r="J34" s="8">
        <v>-0.94128937000000001</v>
      </c>
      <c r="P34" s="6">
        <v>9.1467459999999998E-7</v>
      </c>
      <c r="Q34" s="8">
        <v>-0.94128319999999999</v>
      </c>
    </row>
    <row r="35" spans="1:17" x14ac:dyDescent="0.3">
      <c r="A35" s="1">
        <v>9.4325820000000003E-7</v>
      </c>
      <c r="B35">
        <v>0.55777350000000003</v>
      </c>
      <c r="C35">
        <f t="shared" si="0"/>
        <v>-0.62130392200409224</v>
      </c>
      <c r="D35">
        <f t="shared" si="1"/>
        <v>0.56507350000000001</v>
      </c>
      <c r="E35" s="6">
        <v>1.54013973040086E-6</v>
      </c>
      <c r="F35" s="7">
        <v>2.6037046432007001E-5</v>
      </c>
      <c r="G35" s="1">
        <f t="shared" si="2"/>
        <v>0.461245137046432</v>
      </c>
      <c r="I35" s="6">
        <v>9.1467459999999998E-7</v>
      </c>
      <c r="J35" s="8">
        <v>-0.9412893</v>
      </c>
      <c r="P35" s="6">
        <v>9.4325820000000003E-7</v>
      </c>
      <c r="Q35" s="8">
        <v>-0.94128316999999995</v>
      </c>
    </row>
    <row r="36" spans="1:17" x14ac:dyDescent="0.3">
      <c r="A36" s="1">
        <v>9.7184179999999996E-7</v>
      </c>
      <c r="B36">
        <v>0.55944240000000001</v>
      </c>
      <c r="C36">
        <f t="shared" si="0"/>
        <v>-0.61963502200409226</v>
      </c>
      <c r="D36">
        <f t="shared" si="1"/>
        <v>0.56674239999999998</v>
      </c>
      <c r="E36" s="6">
        <v>1.6130551388032599E-6</v>
      </c>
      <c r="F36" s="7">
        <v>2.72697280106374E-5</v>
      </c>
      <c r="G36" s="1">
        <f t="shared" si="2"/>
        <v>0.46124636972801064</v>
      </c>
      <c r="I36" s="6">
        <v>9.4325820000000003E-7</v>
      </c>
      <c r="J36" s="8">
        <v>-0.9412893</v>
      </c>
      <c r="P36" s="6">
        <v>9.7184179999999996E-7</v>
      </c>
      <c r="Q36" s="8">
        <v>-0.94128305000000001</v>
      </c>
    </row>
    <row r="37" spans="1:17" x14ac:dyDescent="0.3">
      <c r="A37" s="1">
        <v>1.0004253000000001E-6</v>
      </c>
      <c r="B37">
        <v>0.56108009999999997</v>
      </c>
      <c r="C37">
        <f t="shared" si="0"/>
        <v>-0.6179973220040923</v>
      </c>
      <c r="D37">
        <f t="shared" si="1"/>
        <v>0.56838009999999994</v>
      </c>
      <c r="E37" s="6">
        <v>1.6880693653864401E-6</v>
      </c>
      <c r="F37" s="7">
        <v>2.853789145195E-5</v>
      </c>
      <c r="G37" s="1">
        <f t="shared" si="2"/>
        <v>0.46124763789145196</v>
      </c>
      <c r="I37" s="6">
        <v>9.7184179999999996E-7</v>
      </c>
      <c r="J37" s="8">
        <v>-0.94128924999999997</v>
      </c>
      <c r="P37" s="6">
        <v>1.0004253000000001E-6</v>
      </c>
      <c r="Q37" s="8">
        <v>-0.94128290000000003</v>
      </c>
    </row>
    <row r="38" spans="1:17" x14ac:dyDescent="0.3">
      <c r="A38" s="1">
        <v>1.0290088999999999E-6</v>
      </c>
      <c r="B38">
        <v>0.56269069999999999</v>
      </c>
      <c r="C38">
        <f t="shared" si="0"/>
        <v>-0.61638672200409228</v>
      </c>
      <c r="D38">
        <f t="shared" si="1"/>
        <v>0.56999069999999996</v>
      </c>
      <c r="E38" s="6">
        <v>1.7652428231392701E-6</v>
      </c>
      <c r="F38" s="7">
        <v>2.9842558076130901E-5</v>
      </c>
      <c r="G38" s="1">
        <f t="shared" si="2"/>
        <v>0.46124894255807614</v>
      </c>
      <c r="I38" s="6">
        <v>1.0004253000000001E-6</v>
      </c>
      <c r="J38" s="8">
        <v>-0.94128920000000005</v>
      </c>
      <c r="P38" s="6">
        <v>1.0290088999999999E-6</v>
      </c>
      <c r="Q38" s="8">
        <v>-0.94128286999999999</v>
      </c>
    </row>
    <row r="39" spans="1:17" x14ac:dyDescent="0.3">
      <c r="A39" s="1">
        <v>1.0575924999999999E-6</v>
      </c>
      <c r="B39">
        <v>0.56427424999999998</v>
      </c>
      <c r="C39">
        <f t="shared" si="0"/>
        <v>-0.61480317200409229</v>
      </c>
      <c r="D39">
        <f t="shared" si="1"/>
        <v>0.57157424999999995</v>
      </c>
      <c r="E39" s="6">
        <v>1.8446376639955401E-6</v>
      </c>
      <c r="F39" s="7">
        <v>3.1184778601341601E-5</v>
      </c>
      <c r="G39" s="1">
        <f t="shared" si="2"/>
        <v>0.46125028477860136</v>
      </c>
      <c r="I39" s="6">
        <v>1.0290088999999999E-6</v>
      </c>
      <c r="J39" s="8">
        <v>-0.94128920000000005</v>
      </c>
      <c r="P39" s="6">
        <v>1.0575924999999999E-6</v>
      </c>
      <c r="Q39" s="8">
        <v>-0.94128274999999995</v>
      </c>
    </row>
    <row r="40" spans="1:17" x14ac:dyDescent="0.3">
      <c r="A40" s="1">
        <v>1.0861761E-6</v>
      </c>
      <c r="B40">
        <v>0.56583070000000002</v>
      </c>
      <c r="C40">
        <f t="shared" si="0"/>
        <v>-0.61324672200409225</v>
      </c>
      <c r="D40">
        <f t="shared" si="1"/>
        <v>0.57313069999999999</v>
      </c>
      <c r="E40" s="6">
        <v>1.9263178288882699E-6</v>
      </c>
      <c r="F40" s="7">
        <v>3.2565633989918897E-5</v>
      </c>
      <c r="G40" s="1">
        <f t="shared" si="2"/>
        <v>0.46125166563398989</v>
      </c>
      <c r="I40" s="6">
        <v>1.0575924999999999E-6</v>
      </c>
      <c r="J40" s="8">
        <v>-0.94128909999999999</v>
      </c>
      <c r="P40" s="6">
        <v>1.0861761E-6</v>
      </c>
      <c r="Q40" s="8">
        <v>-0.94128270000000003</v>
      </c>
    </row>
    <row r="41" spans="1:17" x14ac:dyDescent="0.3">
      <c r="A41" s="1">
        <v>1.1147597E-6</v>
      </c>
      <c r="B41">
        <v>0.56736010000000003</v>
      </c>
      <c r="C41">
        <f t="shared" si="0"/>
        <v>-0.61171732200409223</v>
      </c>
      <c r="D41">
        <f t="shared" si="1"/>
        <v>0.57466010000000001</v>
      </c>
      <c r="E41" s="6">
        <v>2.0103490992447501E-6</v>
      </c>
      <c r="F41" s="7">
        <v>3.39862363189314E-5</v>
      </c>
      <c r="G41" s="1">
        <f t="shared" si="2"/>
        <v>0.46125308623631894</v>
      </c>
      <c r="I41" s="6">
        <v>1.0861761E-6</v>
      </c>
      <c r="J41" s="8">
        <v>-0.94128906999999995</v>
      </c>
      <c r="P41" s="6">
        <v>1.1147597E-6</v>
      </c>
      <c r="Q41" s="8">
        <v>-0.94128259999999997</v>
      </c>
    </row>
    <row r="42" spans="1:17" x14ac:dyDescent="0.3">
      <c r="A42" s="1">
        <v>1.1433433000000001E-6</v>
      </c>
      <c r="B42">
        <v>0.56886800000000004</v>
      </c>
      <c r="C42">
        <f t="shared" si="0"/>
        <v>-0.61020942200409223</v>
      </c>
      <c r="D42">
        <f t="shared" si="1"/>
        <v>0.57616800000000001</v>
      </c>
      <c r="E42" s="6">
        <v>2.09679914996388E-6</v>
      </c>
      <c r="F42" s="7">
        <v>3.5447729675795502E-5</v>
      </c>
      <c r="G42" s="1">
        <f t="shared" si="2"/>
        <v>0.46125454772967578</v>
      </c>
      <c r="I42" s="6">
        <v>1.1147597E-6</v>
      </c>
      <c r="J42" s="8">
        <v>-0.94128906999999995</v>
      </c>
      <c r="P42" s="6">
        <v>1.1433433000000001E-6</v>
      </c>
      <c r="Q42" s="8">
        <v>-0.94128244999999999</v>
      </c>
    </row>
    <row r="43" spans="1:17" x14ac:dyDescent="0.3">
      <c r="A43" s="1">
        <v>1.1719268E-6</v>
      </c>
      <c r="B43">
        <v>0.57036010000000004</v>
      </c>
      <c r="C43">
        <f t="shared" si="0"/>
        <v>-0.60871732200409223</v>
      </c>
      <c r="D43">
        <f t="shared" si="1"/>
        <v>0.57766010000000001</v>
      </c>
      <c r="E43" s="6">
        <v>2.1857376039184101E-6</v>
      </c>
      <c r="F43" s="7">
        <v>3.6951291079670403E-5</v>
      </c>
      <c r="G43" s="1">
        <f t="shared" si="2"/>
        <v>0.46125605129107966</v>
      </c>
      <c r="I43" s="6">
        <v>1.1433433000000001E-6</v>
      </c>
      <c r="J43" s="8">
        <v>-0.94128900000000004</v>
      </c>
      <c r="P43" s="6">
        <v>1.1719268E-6</v>
      </c>
      <c r="Q43" s="8">
        <v>-0.94128239999999996</v>
      </c>
    </row>
    <row r="44" spans="1:17" x14ac:dyDescent="0.3">
      <c r="A44" s="1">
        <v>1.2005104E-6</v>
      </c>
      <c r="B44">
        <v>0.57182955999999996</v>
      </c>
      <c r="C44">
        <f t="shared" si="0"/>
        <v>-0.60724786200409231</v>
      </c>
      <c r="D44">
        <f t="shared" si="1"/>
        <v>0.57912955999999993</v>
      </c>
      <c r="E44" s="6">
        <v>2.2772360880259798E-6</v>
      </c>
      <c r="F44" s="7">
        <v>3.8498131429374799E-5</v>
      </c>
      <c r="G44" s="1">
        <f t="shared" si="2"/>
        <v>0.46125759813142936</v>
      </c>
      <c r="I44" s="6">
        <v>1.1719268E-6</v>
      </c>
      <c r="J44" s="8">
        <v>-0.94128895000000001</v>
      </c>
      <c r="P44" s="6">
        <v>1.2005104E-6</v>
      </c>
      <c r="Q44" s="8">
        <v>-0.94128230000000002</v>
      </c>
    </row>
    <row r="45" spans="1:17" x14ac:dyDescent="0.3">
      <c r="A45" s="1">
        <v>1.2290940000000001E-6</v>
      </c>
      <c r="B45">
        <v>0.57327620000000001</v>
      </c>
      <c r="C45">
        <f t="shared" si="0"/>
        <v>-0.60580122200409225</v>
      </c>
      <c r="D45">
        <f t="shared" si="1"/>
        <v>0.58057619999999999</v>
      </c>
      <c r="E45" s="6">
        <v>2.37136829093409E-6</v>
      </c>
      <c r="F45" s="7">
        <v>4.0089496478588799E-5</v>
      </c>
      <c r="G45" s="1">
        <f t="shared" si="2"/>
        <v>0.46125918949647859</v>
      </c>
      <c r="I45" s="6">
        <v>1.2005104E-6</v>
      </c>
      <c r="J45" s="8">
        <v>-0.94128895000000001</v>
      </c>
      <c r="P45" s="6">
        <v>1.2290940000000001E-6</v>
      </c>
      <c r="Q45" s="8">
        <v>-0.94128219999999996</v>
      </c>
    </row>
    <row r="46" spans="1:17" x14ac:dyDescent="0.3">
      <c r="A46" s="1">
        <v>1.2576776000000001E-6</v>
      </c>
      <c r="B46">
        <v>0.57470010000000005</v>
      </c>
      <c r="C46">
        <f t="shared" si="0"/>
        <v>-0.60437732200409222</v>
      </c>
      <c r="D46">
        <f t="shared" si="1"/>
        <v>0.58200010000000002</v>
      </c>
      <c r="E46" s="6">
        <v>2.4682100223655998E-6</v>
      </c>
      <c r="F46" s="7">
        <v>4.1726667839126197E-5</v>
      </c>
      <c r="G46" s="1">
        <f t="shared" si="2"/>
        <v>0.46126082666783913</v>
      </c>
      <c r="I46" s="6">
        <v>1.2290940000000001E-6</v>
      </c>
      <c r="J46" s="8">
        <v>-0.94128889999999998</v>
      </c>
      <c r="P46" s="6">
        <v>1.2576776000000001E-6</v>
      </c>
      <c r="Q46" s="8">
        <v>-0.94128210000000001</v>
      </c>
    </row>
    <row r="47" spans="1:17" x14ac:dyDescent="0.3">
      <c r="A47" s="1">
        <v>1.2862611999999999E-6</v>
      </c>
      <c r="B47">
        <v>0.57610136000000001</v>
      </c>
      <c r="C47">
        <f t="shared" si="0"/>
        <v>-0.60297606200409226</v>
      </c>
      <c r="D47">
        <f t="shared" si="1"/>
        <v>0.58340135999999998</v>
      </c>
      <c r="E47" s="6">
        <v>2.5678392741722998E-6</v>
      </c>
      <c r="F47" s="7">
        <v>4.3410964013085598E-5</v>
      </c>
      <c r="G47" s="1">
        <f t="shared" si="2"/>
        <v>0.46126251096401311</v>
      </c>
      <c r="I47" s="6">
        <v>1.2576776000000001E-6</v>
      </c>
      <c r="J47" s="8">
        <v>-0.94128889999999998</v>
      </c>
      <c r="P47" s="6">
        <v>1.2862611999999999E-6</v>
      </c>
      <c r="Q47" s="8">
        <v>-0.94128202999999999</v>
      </c>
    </row>
    <row r="48" spans="1:17" x14ac:dyDescent="0.3">
      <c r="A48" s="1">
        <v>1.3148448E-6</v>
      </c>
      <c r="B48">
        <v>0.57748449999999996</v>
      </c>
      <c r="C48">
        <f t="shared" si="0"/>
        <v>-0.60159292200409231</v>
      </c>
      <c r="D48">
        <f t="shared" si="1"/>
        <v>0.58478449999999993</v>
      </c>
      <c r="E48" s="6">
        <v>2.67033628314599E-6</v>
      </c>
      <c r="F48" s="7">
        <v>4.5143741454711103E-5</v>
      </c>
      <c r="G48" s="1">
        <f t="shared" si="2"/>
        <v>0.46126424374145469</v>
      </c>
      <c r="I48" s="6">
        <v>1.2862611999999999E-6</v>
      </c>
      <c r="J48" s="8">
        <v>-0.94128880000000004</v>
      </c>
      <c r="P48" s="6">
        <v>1.3148448E-6</v>
      </c>
      <c r="Q48" s="8">
        <v>-0.94128199999999995</v>
      </c>
    </row>
    <row r="49" spans="1:17" x14ac:dyDescent="0.3">
      <c r="A49" s="1">
        <v>1.3434284E-6</v>
      </c>
      <c r="B49">
        <v>0.5788546</v>
      </c>
      <c r="C49">
        <f t="shared" si="0"/>
        <v>-0.60022282200409227</v>
      </c>
      <c r="D49">
        <f t="shared" si="1"/>
        <v>0.58615459999999997</v>
      </c>
      <c r="E49" s="6">
        <v>2.7757835956374601E-6</v>
      </c>
      <c r="F49" s="7">
        <v>4.6926395662817401E-5</v>
      </c>
      <c r="G49" s="1">
        <f t="shared" si="2"/>
        <v>0.46126602639566283</v>
      </c>
      <c r="I49" s="6">
        <v>1.3148448E-6</v>
      </c>
      <c r="J49" s="8">
        <v>-0.94128877</v>
      </c>
      <c r="P49" s="6">
        <v>1.3434284E-6</v>
      </c>
      <c r="Q49" s="8">
        <v>-0.94128186000000003</v>
      </c>
    </row>
    <row r="50" spans="1:17" x14ac:dyDescent="0.3">
      <c r="A50" s="1">
        <v>1.3720118999999999E-6</v>
      </c>
      <c r="B50">
        <v>0.58020570000000005</v>
      </c>
      <c r="C50">
        <f t="shared" si="0"/>
        <v>-0.59887172200409222</v>
      </c>
      <c r="D50">
        <f t="shared" si="1"/>
        <v>0.58750570000000002</v>
      </c>
      <c r="E50" s="6">
        <v>2.88426613403551E-6</v>
      </c>
      <c r="F50" s="7">
        <v>4.87603623046603E-5</v>
      </c>
      <c r="G50" s="1">
        <f t="shared" si="2"/>
        <v>0.46126786036230466</v>
      </c>
      <c r="I50" s="6">
        <v>1.3434284E-6</v>
      </c>
      <c r="J50" s="8">
        <v>-0.94128877</v>
      </c>
      <c r="P50" s="6">
        <v>1.3720118999999999E-6</v>
      </c>
      <c r="Q50" s="8">
        <v>-0.94128179999999995</v>
      </c>
    </row>
    <row r="51" spans="1:17" x14ac:dyDescent="0.3">
      <c r="A51" s="1">
        <v>1.4005955E-6</v>
      </c>
      <c r="B51">
        <v>0.58153770000000005</v>
      </c>
      <c r="C51">
        <f t="shared" si="0"/>
        <v>-0.59753972200409222</v>
      </c>
      <c r="D51">
        <f t="shared" si="1"/>
        <v>0.58883770000000002</v>
      </c>
      <c r="E51" s="6">
        <v>2.9958712651595198E-6</v>
      </c>
      <c r="F51" s="7">
        <v>5.06471183721567E-5</v>
      </c>
      <c r="G51" s="1">
        <f t="shared" si="2"/>
        <v>0.46126974711837215</v>
      </c>
      <c r="I51" s="6">
        <v>1.3720118999999999E-6</v>
      </c>
      <c r="J51" s="8">
        <v>-0.94128869999999998</v>
      </c>
      <c r="P51" s="6">
        <v>1.4005955E-6</v>
      </c>
      <c r="Q51" s="8">
        <v>-0.94128173999999998</v>
      </c>
    </row>
    <row r="52" spans="1:17" x14ac:dyDescent="0.3">
      <c r="A52" s="1">
        <v>1.4291791E-6</v>
      </c>
      <c r="B52">
        <v>0.58285070000000005</v>
      </c>
      <c r="C52">
        <f t="shared" si="0"/>
        <v>-0.59622672200409221</v>
      </c>
      <c r="D52">
        <f t="shared" si="1"/>
        <v>0.59015070000000003</v>
      </c>
      <c r="E52" s="6">
        <v>3.1106888706206399E-6</v>
      </c>
      <c r="F52" s="7">
        <v>5.25881833713856E-5</v>
      </c>
      <c r="G52" s="1">
        <f t="shared" si="2"/>
        <v>0.46127168818337139</v>
      </c>
      <c r="I52" s="6">
        <v>1.4005955E-6</v>
      </c>
      <c r="J52" s="8">
        <v>-0.94128864999999995</v>
      </c>
      <c r="P52" s="6">
        <v>1.4291791E-6</v>
      </c>
      <c r="Q52" s="8">
        <v>-0.94128160000000005</v>
      </c>
    </row>
    <row r="53" spans="1:17" x14ac:dyDescent="0.3">
      <c r="A53" s="1">
        <v>1.4577627000000001E-6</v>
      </c>
      <c r="B53">
        <v>0.58414460000000001</v>
      </c>
      <c r="C53">
        <f t="shared" si="0"/>
        <v>-0.59493282200409225</v>
      </c>
      <c r="D53">
        <f t="shared" si="1"/>
        <v>0.59144459999999999</v>
      </c>
      <c r="E53" s="6">
        <v>3.2288114192082599E-6</v>
      </c>
      <c r="F53" s="7">
        <v>5.4585120546327803E-5</v>
      </c>
      <c r="G53" s="1">
        <f t="shared" si="2"/>
        <v>0.46127368512054634</v>
      </c>
      <c r="I53" s="6">
        <v>1.4291791E-6</v>
      </c>
      <c r="J53" s="8">
        <v>-0.94128864999999995</v>
      </c>
      <c r="P53" s="6">
        <v>1.4577627000000001E-6</v>
      </c>
      <c r="Q53" s="8">
        <v>-0.94128155999999996</v>
      </c>
    </row>
    <row r="54" spans="1:17" x14ac:dyDescent="0.3">
      <c r="A54" s="1">
        <v>1.4863463000000001E-6</v>
      </c>
      <c r="B54">
        <v>0.58542185999999996</v>
      </c>
      <c r="C54">
        <f t="shared" si="0"/>
        <v>-0.59365556200409231</v>
      </c>
      <c r="D54">
        <f t="shared" si="1"/>
        <v>0.59272185999999993</v>
      </c>
      <c r="E54" s="6">
        <v>3.35033404136015E-6</v>
      </c>
      <c r="F54" s="7">
        <v>5.66395381378306E-5</v>
      </c>
      <c r="G54" s="1">
        <f t="shared" si="2"/>
        <v>0.46127573953813783</v>
      </c>
      <c r="I54" s="6">
        <v>1.4577627000000001E-6</v>
      </c>
      <c r="J54" s="8">
        <v>-0.94128860000000003</v>
      </c>
      <c r="P54" s="6">
        <v>1.4863463000000001E-6</v>
      </c>
      <c r="Q54" s="8">
        <v>-0.94128126000000001</v>
      </c>
    </row>
    <row r="55" spans="1:17" x14ac:dyDescent="0.3">
      <c r="A55" s="1">
        <v>1.5149298999999999E-6</v>
      </c>
      <c r="B55">
        <v>0.58668580000000004</v>
      </c>
      <c r="C55">
        <f t="shared" si="0"/>
        <v>-0.59239162200409223</v>
      </c>
      <c r="D55">
        <f t="shared" si="1"/>
        <v>0.59398580000000001</v>
      </c>
      <c r="E55" s="6">
        <v>3.4753546057760598E-6</v>
      </c>
      <c r="F55" s="7">
        <v>5.8753090678810399E-5</v>
      </c>
      <c r="G55" s="1">
        <f t="shared" si="2"/>
        <v>0.46127785309067881</v>
      </c>
      <c r="I55" s="6">
        <v>1.4863463000000001E-6</v>
      </c>
      <c r="J55" s="8">
        <v>-0.94128860000000003</v>
      </c>
      <c r="P55" s="6">
        <v>1.5149298999999999E-6</v>
      </c>
      <c r="Q55" s="8">
        <v>-0.94128089999999998</v>
      </c>
    </row>
    <row r="56" spans="1:17" x14ac:dyDescent="0.3">
      <c r="A56" s="1">
        <v>1.5435133000000001E-6</v>
      </c>
      <c r="B56">
        <v>0.58793395999999998</v>
      </c>
      <c r="C56">
        <f t="shared" si="0"/>
        <v>-0.59114346200409229</v>
      </c>
      <c r="D56">
        <f t="shared" si="1"/>
        <v>0.59523395999999995</v>
      </c>
      <c r="E56" s="6">
        <v>3.6039737982366701E-6</v>
      </c>
      <c r="F56" s="7">
        <v>6.0927480326737201E-5</v>
      </c>
      <c r="G56" s="1">
        <f t="shared" si="2"/>
        <v>0.4612800274803267</v>
      </c>
      <c r="I56" s="6">
        <v>1.5149298999999999E-6</v>
      </c>
      <c r="J56" s="8">
        <v>-0.94128853000000001</v>
      </c>
      <c r="P56" s="6">
        <v>1.5435133000000001E-6</v>
      </c>
      <c r="Q56" s="8">
        <v>-0.94128060000000002</v>
      </c>
    </row>
    <row r="57" spans="1:17" x14ac:dyDescent="0.3">
      <c r="A57" s="1">
        <v>1.5720970000000001E-6</v>
      </c>
      <c r="B57">
        <v>0.58916690000000005</v>
      </c>
      <c r="C57">
        <f t="shared" si="0"/>
        <v>-0.58991052200409222</v>
      </c>
      <c r="D57">
        <f t="shared" si="1"/>
        <v>0.59646690000000002</v>
      </c>
      <c r="E57" s="6">
        <v>3.73629520269128E-6</v>
      </c>
      <c r="F57" s="7">
        <v>6.3164458234472997E-5</v>
      </c>
      <c r="G57" s="1">
        <f t="shared" si="2"/>
        <v>0.46128226445823445</v>
      </c>
      <c r="I57" s="6">
        <v>1.5435133000000001E-6</v>
      </c>
      <c r="J57" s="8">
        <v>-0.94128849999999997</v>
      </c>
      <c r="P57" s="6">
        <v>1.5720970000000001E-6</v>
      </c>
      <c r="Q57" s="8">
        <v>-0.94128025000000004</v>
      </c>
    </row>
    <row r="58" spans="1:17" x14ac:dyDescent="0.3">
      <c r="A58" s="1">
        <v>1.6006805E-6</v>
      </c>
      <c r="B58">
        <v>0.59038495999999996</v>
      </c>
      <c r="C58">
        <f t="shared" si="0"/>
        <v>-0.58869246200409231</v>
      </c>
      <c r="D58">
        <f t="shared" si="1"/>
        <v>0.59768495999999993</v>
      </c>
      <c r="E58" s="6">
        <v>3.87242538467949E-6</v>
      </c>
      <c r="F58" s="7">
        <v>6.5465825960570295E-5</v>
      </c>
      <c r="G58" s="1">
        <f t="shared" si="2"/>
        <v>0.46128456582596056</v>
      </c>
      <c r="I58" s="6">
        <v>1.5720970000000001E-6</v>
      </c>
      <c r="J58" s="8">
        <v>-0.94128840000000003</v>
      </c>
      <c r="P58" s="6">
        <v>1.6006805E-6</v>
      </c>
      <c r="Q58" s="8">
        <v>-0.94127994999999998</v>
      </c>
    </row>
    <row r="59" spans="1:17" x14ac:dyDescent="0.3">
      <c r="A59" s="1">
        <v>1.6292641E-6</v>
      </c>
      <c r="B59">
        <v>0.59158873999999995</v>
      </c>
      <c r="C59">
        <f t="shared" si="0"/>
        <v>-0.58748868200409232</v>
      </c>
      <c r="D59">
        <f t="shared" si="1"/>
        <v>0.59888873999999992</v>
      </c>
      <c r="E59" s="6">
        <v>4.0124739771541897E-6</v>
      </c>
      <c r="F59" s="7">
        <v>6.7833436920162796E-5</v>
      </c>
      <c r="G59" s="1">
        <f t="shared" si="2"/>
        <v>0.46128693343692018</v>
      </c>
      <c r="I59" s="6">
        <v>1.6006805E-6</v>
      </c>
      <c r="J59" s="8">
        <v>-0.94128835</v>
      </c>
      <c r="P59" s="6">
        <v>1.6292641E-6</v>
      </c>
      <c r="Q59" s="8">
        <v>-0.94127959999999999</v>
      </c>
    </row>
    <row r="60" spans="1:17" x14ac:dyDescent="0.3">
      <c r="A60" s="1">
        <v>1.6578477000000001E-6</v>
      </c>
      <c r="B60">
        <v>0.5927789</v>
      </c>
      <c r="C60">
        <f t="shared" si="0"/>
        <v>-0.58629852200409227</v>
      </c>
      <c r="D60">
        <f t="shared" si="1"/>
        <v>0.60007889999999997</v>
      </c>
      <c r="E60" s="6">
        <v>4.1565537687748498E-6</v>
      </c>
      <c r="F60" s="7">
        <v>7.0269197877621299E-5</v>
      </c>
      <c r="G60" s="1">
        <f t="shared" si="2"/>
        <v>0.46128936919787761</v>
      </c>
      <c r="I60" s="6">
        <v>1.6292641E-6</v>
      </c>
      <c r="J60" s="8">
        <v>-0.94128829999999997</v>
      </c>
      <c r="P60" s="6">
        <v>1.6578477000000001E-6</v>
      </c>
      <c r="Q60" s="8">
        <v>-0.94127930000000004</v>
      </c>
    </row>
    <row r="61" spans="1:17" x14ac:dyDescent="0.3">
      <c r="A61" s="1">
        <v>1.6864313000000001E-6</v>
      </c>
      <c r="B61">
        <v>0.5939567</v>
      </c>
      <c r="C61">
        <f t="shared" si="0"/>
        <v>-0.58512072200409226</v>
      </c>
      <c r="D61">
        <f t="shared" si="1"/>
        <v>0.60125669999999998</v>
      </c>
      <c r="E61" s="6">
        <v>4.3047807947423103E-6</v>
      </c>
      <c r="F61" s="7">
        <v>7.2775070482172894E-5</v>
      </c>
      <c r="G61" s="1">
        <f t="shared" si="2"/>
        <v>0.46129187507048219</v>
      </c>
      <c r="I61" s="6">
        <v>1.6578477000000001E-6</v>
      </c>
      <c r="J61" s="8">
        <v>-0.94128822999999995</v>
      </c>
      <c r="P61" s="6">
        <v>1.6864313000000001E-6</v>
      </c>
      <c r="Q61" s="8">
        <v>-0.94127892999999996</v>
      </c>
    </row>
    <row r="62" spans="1:17" x14ac:dyDescent="0.3">
      <c r="A62" s="1">
        <v>1.7150148E-6</v>
      </c>
      <c r="B62">
        <v>0.59512200000000004</v>
      </c>
      <c r="C62">
        <f t="shared" si="0"/>
        <v>-0.58395542200409223</v>
      </c>
      <c r="D62">
        <f t="shared" si="1"/>
        <v>0.60242200000000001</v>
      </c>
      <c r="E62" s="6">
        <v>4.4572744302481496E-6</v>
      </c>
      <c r="F62" s="7">
        <v>7.5353072847722898E-5</v>
      </c>
      <c r="G62" s="1">
        <f t="shared" si="2"/>
        <v>0.46129445307284772</v>
      </c>
      <c r="I62" s="6">
        <v>1.6864313000000001E-6</v>
      </c>
      <c r="J62" s="8">
        <v>-0.94128820000000002</v>
      </c>
      <c r="P62" s="6">
        <v>1.7150148E-6</v>
      </c>
      <c r="Q62" s="8">
        <v>-0.94127864000000006</v>
      </c>
    </row>
    <row r="63" spans="1:17" x14ac:dyDescent="0.3">
      <c r="A63" s="1">
        <v>3.4300296999999999E-6</v>
      </c>
      <c r="B63">
        <v>0.64623094000000003</v>
      </c>
      <c r="C63">
        <f t="shared" si="0"/>
        <v>-0.53284648200409224</v>
      </c>
      <c r="D63">
        <f t="shared" si="1"/>
        <v>0.65353094</v>
      </c>
      <c r="E63" s="6">
        <v>4.6141574866139396E-6</v>
      </c>
      <c r="F63" s="7">
        <v>7.8005281178150299E-5</v>
      </c>
      <c r="G63" s="1">
        <f t="shared" si="2"/>
        <v>0.46129710528117812</v>
      </c>
      <c r="I63" s="6">
        <v>1.7150148E-6</v>
      </c>
      <c r="J63" s="8">
        <v>-0.94128820000000002</v>
      </c>
      <c r="P63" s="6">
        <v>1.7150148E-6</v>
      </c>
      <c r="Q63" s="8">
        <v>-0.94127864000000006</v>
      </c>
    </row>
    <row r="64" spans="1:17" x14ac:dyDescent="0.3">
      <c r="A64" s="1">
        <v>5.1450446999999998E-6</v>
      </c>
      <c r="B64">
        <v>0.68467999999999996</v>
      </c>
      <c r="C64">
        <f t="shared" si="0"/>
        <v>-0.49439742200409231</v>
      </c>
      <c r="D64">
        <f t="shared" si="1"/>
        <v>0.69197999999999993</v>
      </c>
      <c r="E64" s="6">
        <v>4.7755563101978302E-6</v>
      </c>
      <c r="F64" s="7">
        <v>8.0733831439386199E-5</v>
      </c>
      <c r="G64" s="1">
        <f t="shared" si="2"/>
        <v>0.46129983383143935</v>
      </c>
      <c r="I64" s="6">
        <v>1.7150148E-6</v>
      </c>
      <c r="J64" s="8">
        <v>-0.94128820000000002</v>
      </c>
      <c r="P64" s="6">
        <v>3.4300296999999999E-6</v>
      </c>
      <c r="Q64" s="8">
        <v>-0.94045155999999996</v>
      </c>
    </row>
    <row r="65" spans="1:17" x14ac:dyDescent="0.3">
      <c r="A65" s="1">
        <v>6.8600592999999999E-6</v>
      </c>
      <c r="B65">
        <v>0.71638369999999996</v>
      </c>
      <c r="C65">
        <f t="shared" si="0"/>
        <v>-0.46269372200409231</v>
      </c>
      <c r="D65">
        <f t="shared" si="1"/>
        <v>0.72368369999999993</v>
      </c>
      <c r="E65" s="6">
        <v>4.9416008841480398E-6</v>
      </c>
      <c r="F65" s="7">
        <v>8.3540921079622204E-5</v>
      </c>
      <c r="G65" s="1">
        <f t="shared" si="2"/>
        <v>0.46130264092107959</v>
      </c>
      <c r="I65" s="6">
        <v>3.4300296999999999E-6</v>
      </c>
      <c r="J65" s="8">
        <v>-0.9392971</v>
      </c>
      <c r="P65" s="6">
        <v>5.1450446999999998E-6</v>
      </c>
      <c r="Q65" s="8">
        <v>-0.91903480000000004</v>
      </c>
    </row>
    <row r="66" spans="1:17" x14ac:dyDescent="0.3">
      <c r="A66" s="1">
        <v>8.5750740000000008E-6</v>
      </c>
      <c r="B66">
        <v>0.74122363000000002</v>
      </c>
      <c r="C66">
        <f t="shared" si="0"/>
        <v>-0.43785379200409225</v>
      </c>
      <c r="D66">
        <f t="shared" si="1"/>
        <v>0.74852363</v>
      </c>
      <c r="E66" s="6">
        <v>5.1124249330852599E-6</v>
      </c>
      <c r="F66" s="7">
        <v>8.6428810799033795E-5</v>
      </c>
      <c r="G66" s="1">
        <f t="shared" si="2"/>
        <v>0.461305528810799</v>
      </c>
      <c r="I66" s="6">
        <v>5.1450446999999998E-6</v>
      </c>
      <c r="J66" s="8">
        <v>-0.9086902</v>
      </c>
      <c r="P66" s="6">
        <v>6.8600592999999999E-6</v>
      </c>
      <c r="Q66" s="8">
        <v>-0.8664558</v>
      </c>
    </row>
    <row r="67" spans="1:17" x14ac:dyDescent="0.3">
      <c r="A67" s="1">
        <v>1.0290089E-5</v>
      </c>
      <c r="B67">
        <v>0.76555669999999998</v>
      </c>
      <c r="C67">
        <f t="shared" si="0"/>
        <v>-0.41352072200409229</v>
      </c>
      <c r="D67">
        <f t="shared" si="1"/>
        <v>0.77285669999999995</v>
      </c>
      <c r="E67" s="6">
        <v>5.2881660307983203E-6</v>
      </c>
      <c r="F67" s="7">
        <v>8.9399826370442902E-5</v>
      </c>
      <c r="G67" s="1">
        <f t="shared" si="2"/>
        <v>0.46130849982637046</v>
      </c>
      <c r="I67" s="6">
        <v>6.8600592999999999E-6</v>
      </c>
      <c r="J67" s="8">
        <v>-0.81184789999999996</v>
      </c>
      <c r="P67" s="6">
        <v>8.5750740000000008E-6</v>
      </c>
      <c r="Q67" s="8">
        <v>-0.80018383000000004</v>
      </c>
    </row>
    <row r="68" spans="1:17" x14ac:dyDescent="0.3">
      <c r="A68" s="1">
        <v>1.20051045E-5</v>
      </c>
      <c r="B68">
        <v>0.78630566999999996</v>
      </c>
      <c r="C68">
        <f t="shared" ref="C68:C131" si="3">B68-2*PI()*1.68*(0.1187-0.007)</f>
        <v>-0.39277175200409231</v>
      </c>
      <c r="D68">
        <f t="shared" ref="D68:D86" si="4">B68+0.0073</f>
        <v>0.79360566999999993</v>
      </c>
      <c r="E68" s="6">
        <v>5.4689657110397202E-6</v>
      </c>
      <c r="F68" s="7">
        <v>9.2456360512388697E-5</v>
      </c>
      <c r="G68" s="1">
        <f t="shared" ref="G68:G131" si="5">$B$3+F68</f>
        <v>0.46131155636051241</v>
      </c>
      <c r="I68" s="6">
        <v>8.5750740000000008E-6</v>
      </c>
      <c r="J68" s="8">
        <v>-0.69713769999999997</v>
      </c>
      <c r="P68" s="6">
        <v>1.0290089E-5</v>
      </c>
      <c r="Q68" s="8">
        <v>-0.74291724000000003</v>
      </c>
    </row>
    <row r="69" spans="1:17" x14ac:dyDescent="0.3">
      <c r="A69" s="1">
        <v>1.3720119E-5</v>
      </c>
      <c r="B69">
        <v>0.80631673000000004</v>
      </c>
      <c r="C69">
        <f t="shared" si="3"/>
        <v>-0.37276069200409223</v>
      </c>
      <c r="D69">
        <f t="shared" si="4"/>
        <v>0.81361673000000001</v>
      </c>
      <c r="E69" s="6">
        <v>5.6549695815103896E-6</v>
      </c>
      <c r="F69" s="7">
        <v>9.5600874816111905E-5</v>
      </c>
      <c r="G69" s="1">
        <f t="shared" si="5"/>
        <v>0.46131470087481613</v>
      </c>
      <c r="I69" s="6">
        <v>1.0290089E-5</v>
      </c>
      <c r="J69" s="8">
        <v>-0.60653990000000002</v>
      </c>
      <c r="P69" s="6">
        <v>1.20051045E-5</v>
      </c>
      <c r="Q69" s="8">
        <v>-0.69465624999999998</v>
      </c>
    </row>
    <row r="70" spans="1:17" x14ac:dyDescent="0.3">
      <c r="A70" s="1">
        <v>1.5435135E-5</v>
      </c>
      <c r="B70">
        <v>0.82426774999999997</v>
      </c>
      <c r="C70">
        <f t="shared" si="3"/>
        <v>-0.3548096720040923</v>
      </c>
      <c r="D70">
        <f t="shared" si="4"/>
        <v>0.83156774999999994</v>
      </c>
      <c r="E70" s="6">
        <v>5.8463274411253898E-6</v>
      </c>
      <c r="F70" s="7">
        <v>9.8835901728006701E-5</v>
      </c>
      <c r="G70" s="1">
        <f t="shared" si="5"/>
        <v>0.46131793590172798</v>
      </c>
      <c r="I70" s="6">
        <v>1.20051045E-5</v>
      </c>
      <c r="J70" s="8">
        <v>-0.53338509999999995</v>
      </c>
      <c r="P70" s="6">
        <v>1.3720119E-5</v>
      </c>
      <c r="Q70" s="8">
        <v>-0.65512574000000001</v>
      </c>
    </row>
    <row r="71" spans="1:17" x14ac:dyDescent="0.3">
      <c r="A71" s="1">
        <v>1.7150149000000001E-5</v>
      </c>
      <c r="B71">
        <v>0.84145135000000004</v>
      </c>
      <c r="C71">
        <f t="shared" si="3"/>
        <v>-0.33762607200409223</v>
      </c>
      <c r="D71">
        <f t="shared" si="4"/>
        <v>0.84875135000000002</v>
      </c>
      <c r="E71" s="6">
        <v>6.0431934006550104E-6</v>
      </c>
      <c r="F71" s="8">
        <v>1.02164046589135E-4</v>
      </c>
      <c r="G71" s="1">
        <f t="shared" si="5"/>
        <v>0.46132126404658913</v>
      </c>
      <c r="I71" s="6">
        <v>1.3720119E-5</v>
      </c>
      <c r="J71" s="8">
        <v>-0.47171664000000002</v>
      </c>
      <c r="P71" s="6">
        <v>1.5435135E-5</v>
      </c>
      <c r="Q71" s="8">
        <v>-0.62346939999999995</v>
      </c>
    </row>
    <row r="72" spans="1:17" x14ac:dyDescent="0.3">
      <c r="A72" s="1">
        <v>1.8865162999999999E-5</v>
      </c>
      <c r="B72">
        <v>0.85663330000000004</v>
      </c>
      <c r="C72">
        <f t="shared" si="3"/>
        <v>-0.32244412200409223</v>
      </c>
      <c r="D72">
        <f t="shared" si="4"/>
        <v>0.86393330000000002</v>
      </c>
      <c r="E72" s="6">
        <v>6.2457260068384998E-6</v>
      </c>
      <c r="F72" s="8">
        <v>1.05587989733451E-4</v>
      </c>
      <c r="G72" s="1">
        <f t="shared" si="5"/>
        <v>0.46132468798973342</v>
      </c>
      <c r="I72" s="6">
        <v>1.5435135E-5</v>
      </c>
      <c r="J72" s="8">
        <v>-0.41507073999999999</v>
      </c>
      <c r="P72" s="6">
        <v>1.7150149000000001E-5</v>
      </c>
      <c r="Q72" s="8">
        <v>-0.59181309999999998</v>
      </c>
    </row>
    <row r="73" spans="1:17" x14ac:dyDescent="0.3">
      <c r="A73" s="1">
        <v>2.0580178999999999E-5</v>
      </c>
      <c r="B73">
        <v>0.87062919999999999</v>
      </c>
      <c r="C73">
        <f t="shared" si="3"/>
        <v>-0.30844822200409228</v>
      </c>
      <c r="D73">
        <f t="shared" si="4"/>
        <v>0.87792919999999997</v>
      </c>
      <c r="E73" s="6">
        <v>6.4540883700702297E-6</v>
      </c>
      <c r="F73" s="8">
        <v>1.09110488646414E-4</v>
      </c>
      <c r="G73" s="1">
        <f t="shared" si="5"/>
        <v>0.46132821048864642</v>
      </c>
      <c r="I73" s="6">
        <v>1.7150149000000001E-5</v>
      </c>
      <c r="J73" s="8">
        <v>-0.36604523999999999</v>
      </c>
      <c r="P73" s="6">
        <v>1.8865162999999999E-5</v>
      </c>
      <c r="Q73" s="8">
        <v>-0.56441330000000001</v>
      </c>
    </row>
    <row r="74" spans="1:17" x14ac:dyDescent="0.3">
      <c r="A74" s="1">
        <v>2.2295193E-5</v>
      </c>
      <c r="B74">
        <v>0.88462510000000005</v>
      </c>
      <c r="C74">
        <f t="shared" si="3"/>
        <v>-0.29445232200409222</v>
      </c>
      <c r="D74">
        <f t="shared" si="4"/>
        <v>0.89192510000000003</v>
      </c>
      <c r="E74" s="6">
        <v>6.6684482957613098E-6</v>
      </c>
      <c r="F74" s="8">
        <v>1.1273438018573999E-4</v>
      </c>
      <c r="G74" s="1">
        <f t="shared" si="5"/>
        <v>0.46133183438018571</v>
      </c>
      <c r="I74" s="6">
        <v>1.8865162999999999E-5</v>
      </c>
      <c r="J74" s="8">
        <v>-0.31701973</v>
      </c>
      <c r="P74" s="6">
        <v>2.0580178999999999E-5</v>
      </c>
      <c r="Q74" s="8">
        <v>-0.53833085000000003</v>
      </c>
    </row>
    <row r="75" spans="1:17" x14ac:dyDescent="0.3">
      <c r="A75" s="1">
        <v>2.4010209000000001E-5</v>
      </c>
      <c r="B75">
        <v>0.89862096000000002</v>
      </c>
      <c r="C75">
        <f t="shared" si="3"/>
        <v>-0.28045646200409224</v>
      </c>
      <c r="D75">
        <f t="shared" si="4"/>
        <v>0.90592096</v>
      </c>
      <c r="E75" s="6">
        <v>6.8889784194822703E-6</v>
      </c>
      <c r="F75" s="8">
        <v>1.16462582866081E-4</v>
      </c>
      <c r="G75" s="1">
        <f t="shared" si="5"/>
        <v>0.46133556258286607</v>
      </c>
      <c r="I75" s="6">
        <v>2.0580178999999999E-5</v>
      </c>
      <c r="J75" s="8">
        <v>-0.2694492</v>
      </c>
      <c r="P75" s="6">
        <v>2.2295193E-5</v>
      </c>
      <c r="Q75" s="8">
        <v>-0.5132949</v>
      </c>
    </row>
    <row r="76" spans="1:17" x14ac:dyDescent="0.3">
      <c r="A76" s="13">
        <v>2.5725222999999999E-5</v>
      </c>
      <c r="B76" s="12">
        <v>0.91175585999999997</v>
      </c>
      <c r="C76">
        <f t="shared" si="3"/>
        <v>-0.26732156200409229</v>
      </c>
      <c r="D76">
        <f t="shared" si="4"/>
        <v>0.91905585999999995</v>
      </c>
      <c r="E76" s="6">
        <v>7.1158563459957798E-6</v>
      </c>
      <c r="F76" s="8">
        <v>1.20298099209453E-4</v>
      </c>
      <c r="G76" s="1">
        <f t="shared" si="5"/>
        <v>0.46133939809920943</v>
      </c>
      <c r="I76" s="6">
        <v>2.2295193E-5</v>
      </c>
      <c r="J76" s="8">
        <v>-0.2295576</v>
      </c>
      <c r="P76" s="6">
        <v>2.4010209000000001E-5</v>
      </c>
      <c r="Q76" s="8">
        <v>-0.49122510000000003</v>
      </c>
    </row>
    <row r="77" spans="1:17" x14ac:dyDescent="0.3">
      <c r="A77" s="1">
        <v>2.7440237E-5</v>
      </c>
      <c r="B77">
        <v>0.92373335000000001</v>
      </c>
      <c r="C77">
        <f t="shared" si="3"/>
        <v>-0.25534407200409226</v>
      </c>
      <c r="D77">
        <f t="shared" si="4"/>
        <v>0.93103334999999998</v>
      </c>
      <c r="E77" s="6">
        <v>7.3492647922913E-6</v>
      </c>
      <c r="F77" s="8">
        <v>1.2424401816333699E-4</v>
      </c>
      <c r="G77" s="1">
        <f t="shared" si="5"/>
        <v>0.46134334401816335</v>
      </c>
      <c r="I77" s="6">
        <v>2.4010209000000001E-5</v>
      </c>
      <c r="J77" s="8">
        <v>-0.189666</v>
      </c>
      <c r="P77" s="6">
        <v>2.5725222999999999E-5</v>
      </c>
      <c r="Q77" s="8">
        <v>-0.46915533999999998</v>
      </c>
    </row>
    <row r="78" spans="1:17" x14ac:dyDescent="0.3">
      <c r="A78" s="1">
        <v>2.9155253E-5</v>
      </c>
      <c r="B78">
        <v>0.93571084999999998</v>
      </c>
      <c r="C78">
        <f t="shared" si="3"/>
        <v>-0.24336657200409229</v>
      </c>
      <c r="D78">
        <f t="shared" si="4"/>
        <v>0.94301084999999996</v>
      </c>
      <c r="E78" s="6">
        <v>7.5893917347369199E-6</v>
      </c>
      <c r="F78" s="8">
        <v>1.2830351758837E-4</v>
      </c>
      <c r="G78" s="1">
        <f t="shared" si="5"/>
        <v>0.46134740351758835</v>
      </c>
      <c r="I78" s="6">
        <v>2.5725222999999999E-5</v>
      </c>
      <c r="J78" s="8">
        <v>-0.14995897999999999</v>
      </c>
      <c r="P78" s="6">
        <v>2.7440237E-5</v>
      </c>
      <c r="Q78" s="8">
        <v>-0.44819212000000003</v>
      </c>
    </row>
    <row r="79" spans="1:17" x14ac:dyDescent="0.3">
      <c r="A79" s="1">
        <v>3.0870269999999999E-5</v>
      </c>
      <c r="B79">
        <v>0.94768834000000002</v>
      </c>
      <c r="C79">
        <f t="shared" si="3"/>
        <v>-0.23138908200409225</v>
      </c>
      <c r="D79">
        <f t="shared" si="4"/>
        <v>0.95498833999999999</v>
      </c>
      <c r="E79" s="6">
        <v>7.8364305604667905E-6</v>
      </c>
      <c r="F79" s="8">
        <v>1.32479866817646E-4</v>
      </c>
      <c r="G79" s="1">
        <f t="shared" si="5"/>
        <v>0.46135157986681763</v>
      </c>
      <c r="I79" s="6">
        <v>2.7440237E-5</v>
      </c>
      <c r="J79" s="8">
        <v>-0.11756165</v>
      </c>
      <c r="P79" s="6">
        <v>2.9155253E-5</v>
      </c>
      <c r="Q79" s="8">
        <v>-0.42836937000000003</v>
      </c>
    </row>
    <row r="80" spans="1:17" x14ac:dyDescent="0.3">
      <c r="A80" s="1">
        <v>3.258528E-5</v>
      </c>
      <c r="B80">
        <v>0.95935093999999999</v>
      </c>
      <c r="C80">
        <f t="shared" si="3"/>
        <v>-0.21972648200409228</v>
      </c>
      <c r="D80">
        <f t="shared" si="4"/>
        <v>0.96665093999999996</v>
      </c>
      <c r="E80" s="6">
        <v>8.0905802231262206E-6</v>
      </c>
      <c r="F80" s="8">
        <v>1.6539213457056299E-4</v>
      </c>
      <c r="G80" s="1">
        <f t="shared" si="5"/>
        <v>0.46138449213457056</v>
      </c>
      <c r="I80" s="6">
        <v>2.9155253E-5</v>
      </c>
      <c r="J80" s="8">
        <v>-8.5164329999999996E-2</v>
      </c>
      <c r="P80" s="6">
        <v>3.0870269999999999E-5</v>
      </c>
      <c r="Q80" s="8">
        <v>-0.40944206999999999</v>
      </c>
    </row>
    <row r="81" spans="1:17" x14ac:dyDescent="0.3">
      <c r="A81" s="1">
        <v>3.4300298000000002E-5</v>
      </c>
      <c r="B81">
        <v>0.96993039999999997</v>
      </c>
      <c r="C81">
        <f t="shared" si="3"/>
        <v>-0.2091470220040923</v>
      </c>
      <c r="D81">
        <f t="shared" si="4"/>
        <v>0.97723039999999994</v>
      </c>
      <c r="E81" s="6">
        <v>8.3520454030997206E-6</v>
      </c>
      <c r="F81" s="8">
        <v>2.0561353243708701E-4</v>
      </c>
      <c r="G81" s="1">
        <f t="shared" si="5"/>
        <v>0.46142471353243708</v>
      </c>
      <c r="I81" s="6">
        <v>3.0870269999999999E-5</v>
      </c>
      <c r="J81" s="8">
        <v>-5.2767010000000003E-2</v>
      </c>
      <c r="P81" s="6">
        <v>3.258528E-5</v>
      </c>
      <c r="Q81" s="8">
        <v>-0.39141023000000003</v>
      </c>
    </row>
    <row r="82" spans="1:17" x14ac:dyDescent="0.3">
      <c r="A82" s="1">
        <v>3.6015313999999999E-5</v>
      </c>
      <c r="B82">
        <v>0.98050990000000005</v>
      </c>
      <c r="C82">
        <f t="shared" si="3"/>
        <v>-0.19856752200409222</v>
      </c>
      <c r="D82">
        <f t="shared" si="4"/>
        <v>0.98780990000000002</v>
      </c>
      <c r="E82" s="6">
        <v>8.6210366723511207E-6</v>
      </c>
      <c r="F82" s="8">
        <v>2.5390304524286402E-4</v>
      </c>
      <c r="G82" s="1">
        <f t="shared" si="5"/>
        <v>0.46147300304524286</v>
      </c>
      <c r="I82" s="6">
        <v>3.258528E-5</v>
      </c>
      <c r="J82" s="8">
        <v>-2.2761295000000001E-2</v>
      </c>
      <c r="P82" s="6">
        <v>3.4300298000000002E-5</v>
      </c>
      <c r="Q82" s="8">
        <v>-0.37427387000000001</v>
      </c>
    </row>
    <row r="83" spans="1:17" x14ac:dyDescent="0.3">
      <c r="A83" s="1">
        <v>3.7730325999999998E-5</v>
      </c>
      <c r="B83">
        <v>0.99108934000000004</v>
      </c>
      <c r="C83">
        <f t="shared" si="3"/>
        <v>-0.18798808200409223</v>
      </c>
      <c r="D83">
        <f t="shared" si="4"/>
        <v>0.99838934000000001</v>
      </c>
      <c r="E83" s="6">
        <v>8.8977706640084899E-6</v>
      </c>
      <c r="F83" s="8">
        <v>3.11515002628937E-4</v>
      </c>
      <c r="G83" s="1">
        <f t="shared" si="5"/>
        <v>0.46153061500262893</v>
      </c>
      <c r="I83" s="6">
        <v>3.4300298000000002E-5</v>
      </c>
      <c r="J83" s="8">
        <v>5.6867473999999999E-3</v>
      </c>
      <c r="P83" s="6">
        <v>3.6015313999999999E-5</v>
      </c>
      <c r="Q83" s="8">
        <v>-0.35788472999999998</v>
      </c>
    </row>
    <row r="84" spans="1:17" x14ac:dyDescent="0.3">
      <c r="A84" s="1">
        <v>3.9445342000000002E-5</v>
      </c>
      <c r="B84">
        <v>1.0016596</v>
      </c>
      <c r="C84">
        <f t="shared" si="3"/>
        <v>-0.17741782200409228</v>
      </c>
      <c r="D84">
        <f t="shared" si="4"/>
        <v>1.0089596000000001</v>
      </c>
      <c r="E84" s="6">
        <v>9.1824702468304307E-6</v>
      </c>
      <c r="F84" s="8">
        <v>3.7983474353264697E-4</v>
      </c>
      <c r="G84" s="1">
        <f t="shared" si="5"/>
        <v>0.46159893474353264</v>
      </c>
      <c r="I84" s="6">
        <v>3.6015313999999999E-5</v>
      </c>
      <c r="J84" s="8">
        <v>3.2799351999999997E-2</v>
      </c>
      <c r="P84" s="6">
        <v>3.7730325999999998E-5</v>
      </c>
      <c r="Q84" s="8">
        <v>-0.34228227</v>
      </c>
    </row>
    <row r="85" spans="1:17" x14ac:dyDescent="0.3">
      <c r="A85" s="1">
        <v>4.1160357999999998E-5</v>
      </c>
      <c r="B85">
        <v>1.0117643999999999</v>
      </c>
      <c r="C85">
        <f t="shared" si="3"/>
        <v>-0.16731302200409237</v>
      </c>
      <c r="D85">
        <f t="shared" si="4"/>
        <v>1.0190644</v>
      </c>
      <c r="E85" s="6">
        <v>9.4753647046942992E-6</v>
      </c>
      <c r="F85" s="8">
        <v>4.6038331825770602E-4</v>
      </c>
      <c r="G85" s="1">
        <f t="shared" si="5"/>
        <v>0.4616794833182577</v>
      </c>
      <c r="I85" s="6">
        <v>3.7730325999999998E-5</v>
      </c>
      <c r="J85" s="8">
        <v>5.857652E-2</v>
      </c>
      <c r="P85" s="6">
        <v>3.9445342000000002E-5</v>
      </c>
      <c r="Q85" s="8">
        <v>-0.32750679999999999</v>
      </c>
    </row>
    <row r="86" spans="1:17" x14ac:dyDescent="0.3">
      <c r="A86" s="1">
        <v>4.2875374000000002E-5</v>
      </c>
      <c r="B86">
        <v>1.0216882</v>
      </c>
      <c r="C86">
        <f t="shared" si="3"/>
        <v>-0.15738922200409222</v>
      </c>
      <c r="D86">
        <f t="shared" si="4"/>
        <v>1.0289882000000001</v>
      </c>
      <c r="E86" s="6">
        <v>9.7766899212508099E-6</v>
      </c>
      <c r="F86" s="8">
        <v>5.5482133539763701E-4</v>
      </c>
      <c r="G86" s="1">
        <f t="shared" si="5"/>
        <v>0.46177392133539763</v>
      </c>
      <c r="I86" s="6">
        <v>3.9445342000000002E-5</v>
      </c>
      <c r="J86" s="8">
        <v>8.3018250000000002E-2</v>
      </c>
      <c r="P86" s="6">
        <v>4.1160357999999998E-5</v>
      </c>
      <c r="Q86" s="8">
        <v>-0.31355833999999999</v>
      </c>
    </row>
    <row r="87" spans="1:17" x14ac:dyDescent="0.3">
      <c r="A87" s="1">
        <v>4.4590386000000001E-5</v>
      </c>
      <c r="B87">
        <v>1.0314312000000001</v>
      </c>
      <c r="C87">
        <f t="shared" si="3"/>
        <v>-0.14764622200409216</v>
      </c>
      <c r="D87" s="3"/>
      <c r="E87" s="6">
        <v>1.0086688569893799E-5</v>
      </c>
      <c r="F87" s="8">
        <v>6.6495187535009395E-4</v>
      </c>
      <c r="G87" s="1">
        <f t="shared" si="5"/>
        <v>0.46188405187535009</v>
      </c>
      <c r="I87" s="6">
        <v>4.1160357999999998E-5</v>
      </c>
      <c r="J87" s="8">
        <v>0.10612455</v>
      </c>
      <c r="P87" s="6">
        <v>4.2875374000000002E-5</v>
      </c>
      <c r="Q87" s="8">
        <v>-0.30043690000000001</v>
      </c>
    </row>
    <row r="88" spans="1:17" x14ac:dyDescent="0.3">
      <c r="A88" s="1">
        <v>4.6305401999999998E-5</v>
      </c>
      <c r="B88">
        <v>1.0409933</v>
      </c>
      <c r="C88">
        <f t="shared" si="3"/>
        <v>-0.13808412200409226</v>
      </c>
      <c r="D88" s="3"/>
      <c r="E88" s="6">
        <v>1.04056103091983E-5</v>
      </c>
      <c r="F88" s="8">
        <v>7.9272240551264597E-4</v>
      </c>
      <c r="G88" s="1">
        <f t="shared" si="5"/>
        <v>0.46201182240551264</v>
      </c>
      <c r="I88" s="6">
        <v>4.2875374000000002E-5</v>
      </c>
      <c r="J88" s="8">
        <v>0.12809211000000001</v>
      </c>
      <c r="P88" s="6">
        <v>4.4590386000000001E-5</v>
      </c>
      <c r="Q88" s="8">
        <v>-0.28727627</v>
      </c>
    </row>
    <row r="89" spans="1:17" x14ac:dyDescent="0.3">
      <c r="A89" s="1">
        <v>4.8020418000000001E-5</v>
      </c>
      <c r="B89">
        <v>1.0503745</v>
      </c>
      <c r="C89">
        <f t="shared" si="3"/>
        <v>-0.12870292200409228</v>
      </c>
      <c r="D89" s="3"/>
      <c r="E89" s="6">
        <v>1.0733711983983599E-5</v>
      </c>
      <c r="F89" s="8">
        <v>9.4022564631668305E-4</v>
      </c>
      <c r="G89" s="1">
        <f t="shared" si="5"/>
        <v>0.46215932564631668</v>
      </c>
      <c r="I89" s="6">
        <v>4.4590386000000001E-5</v>
      </c>
      <c r="J89" s="8">
        <v>0.14891905</v>
      </c>
      <c r="P89" s="6">
        <v>4.6305401999999998E-5</v>
      </c>
      <c r="Q89" s="8">
        <v>-0.27429609999999999</v>
      </c>
    </row>
    <row r="90" spans="1:17" x14ac:dyDescent="0.3">
      <c r="A90" s="1">
        <v>4.973543E-5</v>
      </c>
      <c r="B90">
        <v>1.0595745000000001</v>
      </c>
      <c r="C90">
        <f t="shared" si="3"/>
        <v>-0.11950292200409218</v>
      </c>
      <c r="D90" s="3"/>
      <c r="E90" s="6">
        <v>1.1071257832164999E-5</v>
      </c>
      <c r="F90" s="8">
        <v>1.10969935241089E-3</v>
      </c>
      <c r="G90" s="1">
        <f t="shared" si="5"/>
        <v>0.46232879935241089</v>
      </c>
      <c r="I90" s="6">
        <v>4.6305401999999998E-5</v>
      </c>
      <c r="J90" s="8">
        <v>0.16850254000000001</v>
      </c>
      <c r="P90" s="6">
        <v>4.8020418000000001E-5</v>
      </c>
      <c r="Q90" s="8">
        <v>-0.26173950000000001</v>
      </c>
    </row>
    <row r="91" spans="1:17" x14ac:dyDescent="0.3">
      <c r="A91" s="1">
        <v>5.1450445999999997E-5</v>
      </c>
      <c r="B91">
        <v>1.0685750000000001</v>
      </c>
      <c r="C91">
        <f t="shared" si="3"/>
        <v>-0.11050242200409222</v>
      </c>
      <c r="D91" s="3"/>
      <c r="E91" s="6">
        <v>1.14185196975576E-5</v>
      </c>
      <c r="F91" s="8">
        <v>1.30352498845809E-3</v>
      </c>
      <c r="G91" s="1">
        <f t="shared" si="5"/>
        <v>0.46252262498845809</v>
      </c>
      <c r="I91" s="6">
        <v>4.8020418000000001E-5</v>
      </c>
      <c r="J91" s="8">
        <v>0.18684259</v>
      </c>
      <c r="P91" s="6">
        <v>4.973543E-5</v>
      </c>
      <c r="Q91" s="8">
        <v>-0.24960642999999999</v>
      </c>
    </row>
    <row r="92" spans="1:17" x14ac:dyDescent="0.3">
      <c r="A92" s="1">
        <v>5.3165462000000001E-5</v>
      </c>
      <c r="B92">
        <v>1.0773892</v>
      </c>
      <c r="C92">
        <f t="shared" si="3"/>
        <v>-0.10168822200409222</v>
      </c>
      <c r="D92" s="3"/>
      <c r="E92" s="6">
        <v>1.1775777248808E-5</v>
      </c>
      <c r="F92" s="8">
        <v>1.52422529436746E-3</v>
      </c>
      <c r="G92" s="1">
        <f t="shared" si="5"/>
        <v>0.46274332529436746</v>
      </c>
      <c r="I92" s="6">
        <v>4.973543E-5</v>
      </c>
      <c r="J92" s="8">
        <v>0.20393921000000001</v>
      </c>
      <c r="P92" s="6">
        <v>5.1450445999999997E-5</v>
      </c>
      <c r="Q92" s="8">
        <v>-0.23789689</v>
      </c>
    </row>
    <row r="93" spans="1:17" x14ac:dyDescent="0.3">
      <c r="A93" s="1">
        <v>5.4880475000000002E-5</v>
      </c>
      <c r="B93">
        <v>1.0860174</v>
      </c>
      <c r="C93">
        <f t="shared" si="3"/>
        <v>-9.3060022004092247E-2</v>
      </c>
      <c r="D93" s="3"/>
      <c r="E93" s="6">
        <v>1.21433182046257E-5</v>
      </c>
      <c r="F93" s="8">
        <v>1.7744607497409599E-3</v>
      </c>
      <c r="G93" s="1">
        <f t="shared" si="5"/>
        <v>0.46299356074974096</v>
      </c>
      <c r="I93" s="6">
        <v>5.1450445999999997E-5</v>
      </c>
      <c r="J93" s="8">
        <v>0.21979240999999999</v>
      </c>
      <c r="P93" s="6">
        <v>5.3165462000000001E-5</v>
      </c>
      <c r="Q93" s="8">
        <v>-0.22661091</v>
      </c>
    </row>
    <row r="94" spans="1:17" x14ac:dyDescent="0.3">
      <c r="A94" s="1">
        <v>5.6595490000000003E-5</v>
      </c>
      <c r="B94">
        <v>1.0944592</v>
      </c>
      <c r="C94">
        <f t="shared" si="3"/>
        <v>-8.4618222004092303E-2</v>
      </c>
      <c r="D94" s="3"/>
      <c r="E94" s="6">
        <v>1.25214385654986E-5</v>
      </c>
      <c r="F94" s="8">
        <v>2.0570249616988999E-3</v>
      </c>
      <c r="G94" s="1">
        <f t="shared" si="5"/>
        <v>0.4632761249616989</v>
      </c>
      <c r="I94" s="6">
        <v>5.3165462000000001E-5</v>
      </c>
      <c r="J94" s="8">
        <v>0.23510877999999999</v>
      </c>
      <c r="P94" s="6">
        <v>5.4880475000000002E-5</v>
      </c>
      <c r="Q94" s="8">
        <v>-0.21574846</v>
      </c>
    </row>
    <row r="95" spans="1:17" x14ac:dyDescent="0.3">
      <c r="A95" s="1">
        <v>5.8310507000000003E-5</v>
      </c>
      <c r="B95">
        <v>1.1027146999999999</v>
      </c>
      <c r="C95">
        <f t="shared" si="3"/>
        <v>-7.6362722004092332E-2</v>
      </c>
      <c r="D95" s="3"/>
      <c r="E95" s="6">
        <v>1.29104428520781E-5</v>
      </c>
      <c r="F95" s="8">
        <v>2.3748390137356898E-3</v>
      </c>
      <c r="G95" s="1">
        <f t="shared" si="5"/>
        <v>0.46359393901373569</v>
      </c>
      <c r="I95" s="6">
        <v>5.4880475000000002E-5</v>
      </c>
      <c r="J95" s="8">
        <v>0.25089707999999999</v>
      </c>
      <c r="P95" s="6">
        <v>5.6595490000000003E-5</v>
      </c>
      <c r="Q95" s="8">
        <v>-0.20530955000000001</v>
      </c>
    </row>
    <row r="96" spans="1:17" x14ac:dyDescent="0.3">
      <c r="A96" s="1">
        <v>6.0025522999999999E-5</v>
      </c>
      <c r="B96">
        <v>1.1107868000000001</v>
      </c>
      <c r="C96">
        <f t="shared" si="3"/>
        <v>-6.8290622004092194E-2</v>
      </c>
      <c r="D96" s="3"/>
      <c r="E96" s="6">
        <v>1.33106443504263E-5</v>
      </c>
      <c r="F96" s="8">
        <v>2.7309448257353199E-3</v>
      </c>
      <c r="G96" s="1">
        <f t="shared" si="5"/>
        <v>0.46395004482573532</v>
      </c>
      <c r="I96" s="6">
        <v>5.6595490000000003E-5</v>
      </c>
      <c r="J96" s="8">
        <v>0.26604952999999998</v>
      </c>
      <c r="P96" s="6">
        <v>5.8310507000000003E-5</v>
      </c>
      <c r="Q96" s="8">
        <v>-0.19529419000000001</v>
      </c>
    </row>
    <row r="97" spans="1:17" x14ac:dyDescent="0.3">
      <c r="A97" s="1">
        <v>6.1740539999999999E-5</v>
      </c>
      <c r="B97">
        <v>1.1188047999999999</v>
      </c>
      <c r="C97">
        <f t="shared" si="3"/>
        <v>-6.0272622004092336E-2</v>
      </c>
      <c r="D97" s="3"/>
      <c r="E97" s="6">
        <v>1.37223653643215E-5</v>
      </c>
      <c r="F97" s="8">
        <v>3.1284975864034302E-3</v>
      </c>
      <c r="G97" s="1">
        <f t="shared" si="5"/>
        <v>0.46434759758640343</v>
      </c>
      <c r="I97" s="6">
        <v>5.8310507000000003E-5</v>
      </c>
      <c r="J97" s="8">
        <v>0.28056619999999999</v>
      </c>
      <c r="P97" s="6">
        <v>6.0025522999999999E-5</v>
      </c>
      <c r="Q97" s="8">
        <v>-0.18570237000000001</v>
      </c>
    </row>
    <row r="98" spans="1:17" x14ac:dyDescent="0.3">
      <c r="A98" s="1">
        <v>6.3455550000000006E-5</v>
      </c>
      <c r="B98">
        <v>1.1266748</v>
      </c>
      <c r="C98">
        <f t="shared" si="3"/>
        <v>-5.2402622004092292E-2</v>
      </c>
      <c r="D98" s="3"/>
      <c r="E98" s="6">
        <v>1.4145937474827199E-5</v>
      </c>
      <c r="F98" s="8">
        <v>3.5707573292464898E-3</v>
      </c>
      <c r="G98" s="1">
        <f t="shared" si="5"/>
        <v>0.46478985732924649</v>
      </c>
      <c r="I98" s="6">
        <v>6.0025522999999999E-5</v>
      </c>
      <c r="J98" s="8">
        <v>0.29444703</v>
      </c>
      <c r="P98" s="6">
        <v>6.1740539999999999E-5</v>
      </c>
      <c r="Q98" s="8">
        <v>-0.17595659</v>
      </c>
    </row>
    <row r="99" spans="1:17" x14ac:dyDescent="0.3">
      <c r="A99" s="1">
        <v>6.517056E-5</v>
      </c>
      <c r="B99">
        <v>1.1343969</v>
      </c>
      <c r="C99">
        <f t="shared" si="3"/>
        <v>-4.4680522004092227E-2</v>
      </c>
      <c r="D99" s="3"/>
      <c r="E99" s="6">
        <v>1.45817018073322E-5</v>
      </c>
      <c r="F99" s="8">
        <v>4.0610797315088201E-3</v>
      </c>
      <c r="G99" s="1">
        <f t="shared" si="5"/>
        <v>0.46528017973150881</v>
      </c>
      <c r="I99" s="6">
        <v>6.1740539999999999E-5</v>
      </c>
      <c r="J99" s="8">
        <v>0.30769207999999998</v>
      </c>
      <c r="P99" s="6">
        <v>6.3455550000000006E-5</v>
      </c>
      <c r="Q99" s="8">
        <v>-0.16629931000000001</v>
      </c>
    </row>
    <row r="100" spans="1:17" x14ac:dyDescent="0.3">
      <c r="A100" s="1">
        <v>6.6885579999999994E-5</v>
      </c>
      <c r="B100">
        <v>1.1419710999999999</v>
      </c>
      <c r="C100">
        <f t="shared" si="3"/>
        <v>-3.7106322004092362E-2</v>
      </c>
      <c r="D100" s="3"/>
      <c r="E100" s="6">
        <v>1.50300093062767E-5</v>
      </c>
      <c r="F100" s="8">
        <v>4.6029062222783202E-3</v>
      </c>
      <c r="G100" s="1">
        <f t="shared" si="5"/>
        <v>0.46582200622227832</v>
      </c>
      <c r="I100" s="6">
        <v>6.3455550000000006E-5</v>
      </c>
      <c r="J100" s="8">
        <v>0.32030130000000001</v>
      </c>
      <c r="P100" s="6">
        <v>6.517056E-5</v>
      </c>
      <c r="Q100" s="8">
        <v>-0.15691935000000001</v>
      </c>
    </row>
    <row r="101" spans="1:17" x14ac:dyDescent="0.3">
      <c r="A101" s="1">
        <v>6.8600594999999995E-5</v>
      </c>
      <c r="B101">
        <v>1.1493974</v>
      </c>
      <c r="C101">
        <f t="shared" si="3"/>
        <v>-2.9680022004092255E-2</v>
      </c>
      <c r="D101" s="3"/>
      <c r="E101" s="6">
        <v>1.54912210177872E-5</v>
      </c>
      <c r="F101" s="8">
        <v>5.1997534912622198E-3</v>
      </c>
      <c r="G101" s="1">
        <f t="shared" si="5"/>
        <v>0.46641885349126222</v>
      </c>
      <c r="I101" s="6">
        <v>6.517056E-5</v>
      </c>
      <c r="J101" s="8">
        <v>0.33227469999999998</v>
      </c>
      <c r="P101" s="6">
        <v>6.6885579999999994E-5</v>
      </c>
      <c r="Q101" s="8">
        <v>-0.14781669</v>
      </c>
    </row>
    <row r="102" spans="1:17" x14ac:dyDescent="0.3">
      <c r="A102" s="1">
        <v>7.0315609999999995E-5</v>
      </c>
      <c r="B102">
        <v>1.1566780000000001</v>
      </c>
      <c r="C102">
        <f t="shared" si="3"/>
        <v>-2.2399422004092173E-2</v>
      </c>
      <c r="D102" s="3"/>
      <c r="E102" s="6">
        <v>1.5965708380446499E-5</v>
      </c>
      <c r="F102" s="8">
        <v>5.8552025134399601E-3</v>
      </c>
      <c r="G102" s="1">
        <f t="shared" si="5"/>
        <v>0.46707430251343995</v>
      </c>
      <c r="I102" s="6">
        <v>6.6885579999999994E-5</v>
      </c>
      <c r="J102" s="8">
        <v>0.34361227999999999</v>
      </c>
      <c r="P102" s="6">
        <v>6.8600594999999995E-5</v>
      </c>
      <c r="Q102" s="8">
        <v>-0.13899136000000001</v>
      </c>
    </row>
    <row r="103" spans="1:17" x14ac:dyDescent="0.3">
      <c r="A103" s="1">
        <v>7.2030630000000003E-5</v>
      </c>
      <c r="B103">
        <v>1.1639215999999999</v>
      </c>
      <c r="C103">
        <f t="shared" si="3"/>
        <v>-1.5155822004092379E-2</v>
      </c>
      <c r="D103" s="3"/>
      <c r="E103" s="6">
        <v>1.6453853524432301E-5</v>
      </c>
      <c r="F103" s="8">
        <v>6.5728871682275702E-3</v>
      </c>
      <c r="G103" s="1">
        <f t="shared" si="5"/>
        <v>0.46779198716822756</v>
      </c>
      <c r="I103" s="6">
        <v>6.8600594999999995E-5</v>
      </c>
      <c r="J103" s="8">
        <v>0.35431405999999999</v>
      </c>
      <c r="P103" s="6">
        <v>7.0315609999999995E-5</v>
      </c>
      <c r="Q103" s="8">
        <v>-0.13044335000000001</v>
      </c>
    </row>
    <row r="104" spans="1:17" x14ac:dyDescent="0.3">
      <c r="A104" s="1">
        <v>7.3745639999999997E-5</v>
      </c>
      <c r="B104">
        <v>1.1710495999999999</v>
      </c>
      <c r="C104">
        <f t="shared" si="3"/>
        <v>-8.0278220040923554E-3</v>
      </c>
      <c r="D104" s="3"/>
      <c r="E104" s="6">
        <v>1.69560495792682E-5</v>
      </c>
      <c r="F104" s="8">
        <v>7.3564824954661604E-3</v>
      </c>
      <c r="G104" s="1">
        <f t="shared" si="5"/>
        <v>0.46857558249546616</v>
      </c>
      <c r="I104" s="6">
        <v>7.0315609999999995E-5</v>
      </c>
      <c r="J104" s="8">
        <v>0.36438003000000002</v>
      </c>
      <c r="P104" s="6">
        <v>7.2030630000000003E-5</v>
      </c>
      <c r="Q104" s="8">
        <v>-0.122172646</v>
      </c>
    </row>
    <row r="105" spans="1:17" x14ac:dyDescent="0.3">
      <c r="A105" s="1">
        <v>7.5460650000000004E-5</v>
      </c>
      <c r="B105">
        <v>1.1780617</v>
      </c>
      <c r="C105">
        <f t="shared" si="3"/>
        <v>-1.0157220040922788E-3</v>
      </c>
      <c r="D105" s="3"/>
      <c r="E105" s="6">
        <v>1.74727009904314E-5</v>
      </c>
      <c r="F105" s="8">
        <v>8.2096927871853007E-3</v>
      </c>
      <c r="G105" s="1">
        <f t="shared" si="5"/>
        <v>0.4694287927871853</v>
      </c>
      <c r="I105" s="6">
        <v>7.2030630000000003E-5</v>
      </c>
      <c r="J105" s="8">
        <v>0.37381019999999998</v>
      </c>
      <c r="P105" s="6">
        <v>7.3745639999999997E-5</v>
      </c>
      <c r="Q105" s="8">
        <v>-0.11417927</v>
      </c>
    </row>
    <row r="106" spans="1:17" x14ac:dyDescent="0.3">
      <c r="A106" s="1">
        <v>7.7175669999999998E-5</v>
      </c>
      <c r="B106">
        <v>1.1849581</v>
      </c>
      <c r="C106">
        <f t="shared" si="3"/>
        <v>5.880677995907746E-3</v>
      </c>
      <c r="D106" s="3"/>
      <c r="E106" s="6">
        <v>1.8004223845074701E-5</v>
      </c>
      <c r="F106" s="8">
        <v>9.1362395675451593E-3</v>
      </c>
      <c r="G106" s="1">
        <f t="shared" si="5"/>
        <v>0.47035533956754516</v>
      </c>
      <c r="I106" s="6">
        <v>7.3745639999999997E-5</v>
      </c>
      <c r="J106" s="8">
        <v>0.38260453999999999</v>
      </c>
      <c r="P106" s="6">
        <v>7.5460650000000004E-5</v>
      </c>
      <c r="Q106" s="8">
        <v>-0.10646321</v>
      </c>
    </row>
    <row r="107" spans="1:17" x14ac:dyDescent="0.3">
      <c r="A107" s="1">
        <v>7.8890684000000003E-5</v>
      </c>
      <c r="B107">
        <v>1.1917386000000001</v>
      </c>
      <c r="C107">
        <f t="shared" si="3"/>
        <v>1.2661177995907824E-2</v>
      </c>
      <c r="D107" s="3"/>
      <c r="E107" s="6">
        <v>1.8551046207123501E-5</v>
      </c>
      <c r="F107" s="8">
        <v>1.01398495498825E-2</v>
      </c>
      <c r="G107" s="1">
        <f t="shared" si="5"/>
        <v>0.4713589495498825</v>
      </c>
      <c r="I107" s="6">
        <v>7.5460650000000004E-5</v>
      </c>
      <c r="J107" s="8">
        <v>0.39198392999999998</v>
      </c>
      <c r="P107" s="6">
        <v>7.7175669999999998E-5</v>
      </c>
      <c r="Q107" s="8">
        <v>-9.9024459999999995E-2</v>
      </c>
    </row>
    <row r="108" spans="1:17" x14ac:dyDescent="0.3">
      <c r="A108" s="1">
        <v>8.06057E-5</v>
      </c>
      <c r="B108">
        <v>1.1984051</v>
      </c>
      <c r="C108">
        <f t="shared" si="3"/>
        <v>1.9327677995907733E-2</v>
      </c>
      <c r="D108" s="3"/>
      <c r="E108" s="6">
        <v>1.91136084620189E-5</v>
      </c>
      <c r="F108" s="8">
        <v>1.1224242685005501E-2</v>
      </c>
      <c r="G108" s="1">
        <f t="shared" si="5"/>
        <v>0.47244334268500549</v>
      </c>
      <c r="I108" s="6">
        <v>7.7175669999999998E-5</v>
      </c>
      <c r="J108" s="8">
        <v>0.40121299999999999</v>
      </c>
      <c r="P108" s="6">
        <v>7.8890684000000003E-5</v>
      </c>
      <c r="Q108" s="8">
        <v>-9.135973E-2</v>
      </c>
    </row>
    <row r="109" spans="1:17" x14ac:dyDescent="0.3">
      <c r="A109" s="1">
        <v>8.2320715999999996E-5</v>
      </c>
      <c r="B109">
        <v>1.2050342999999999</v>
      </c>
      <c r="C109">
        <f t="shared" si="3"/>
        <v>2.5956877995907623E-2</v>
      </c>
      <c r="D109" s="3"/>
      <c r="E109" s="6">
        <v>1.9692363671384101E-5</v>
      </c>
      <c r="F109" s="8">
        <v>1.2393120263185E-2</v>
      </c>
      <c r="G109" s="1">
        <f t="shared" si="5"/>
        <v>0.473612220263185</v>
      </c>
      <c r="I109" s="6">
        <v>7.8890684000000003E-5</v>
      </c>
      <c r="J109" s="8">
        <v>0.41003126000000001</v>
      </c>
      <c r="P109" s="6">
        <v>8.06057E-5</v>
      </c>
      <c r="Q109" s="8">
        <v>-8.3668313999999994E-2</v>
      </c>
    </row>
    <row r="110" spans="1:17" x14ac:dyDescent="0.3">
      <c r="A110" s="1">
        <v>8.4035730000000001E-5</v>
      </c>
      <c r="B110">
        <v>1.2115704</v>
      </c>
      <c r="C110">
        <f t="shared" si="3"/>
        <v>3.2492977995907779E-2</v>
      </c>
      <c r="D110" s="3"/>
      <c r="E110" s="6">
        <v>2.0287777937898501E-5</v>
      </c>
      <c r="F110" s="8">
        <v>1.3650153427248599E-2</v>
      </c>
      <c r="G110" s="1">
        <f t="shared" si="5"/>
        <v>0.47486925342724862</v>
      </c>
      <c r="I110" s="6">
        <v>8.06057E-5</v>
      </c>
      <c r="J110" s="8">
        <v>0.41843876000000002</v>
      </c>
      <c r="P110" s="6">
        <v>8.2320715999999996E-5</v>
      </c>
      <c r="Q110" s="8">
        <v>-7.6124629999999999E-2</v>
      </c>
    </row>
    <row r="111" spans="1:17" x14ac:dyDescent="0.3">
      <c r="A111" s="1">
        <v>8.5750749999999995E-5</v>
      </c>
      <c r="B111">
        <v>1.2180134</v>
      </c>
      <c r="C111">
        <f t="shared" si="3"/>
        <v>3.8935977995907756E-2</v>
      </c>
      <c r="D111" s="3"/>
      <c r="E111" s="6">
        <v>2.0900330780676101E-5</v>
      </c>
      <c r="F111" s="8">
        <v>1.4998971840147301E-2</v>
      </c>
      <c r="G111" s="1">
        <f t="shared" si="5"/>
        <v>0.47621807184014731</v>
      </c>
      <c r="I111" s="6">
        <v>8.2320715999999996E-5</v>
      </c>
      <c r="J111" s="8">
        <v>0.42643553000000001</v>
      </c>
      <c r="P111" s="6">
        <v>8.4035730000000001E-5</v>
      </c>
      <c r="Q111" s="8">
        <v>-6.8728659999999997E-2</v>
      </c>
    </row>
    <row r="112" spans="1:17" x14ac:dyDescent="0.3">
      <c r="A112" s="1">
        <v>8.7465756000000005E-5</v>
      </c>
      <c r="B112">
        <v>1.2243634000000001</v>
      </c>
      <c r="C112">
        <f t="shared" si="3"/>
        <v>4.5285977995907833E-2</v>
      </c>
      <c r="D112" s="3"/>
      <c r="E112" s="6">
        <v>2.1530515521447198E-5</v>
      </c>
      <c r="F112" s="8">
        <v>1.6443152737290499E-2</v>
      </c>
      <c r="G112" s="1">
        <f t="shared" si="5"/>
        <v>0.47766225273729052</v>
      </c>
      <c r="I112" s="6">
        <v>8.4035730000000001E-5</v>
      </c>
      <c r="J112" s="8">
        <v>0.4340215</v>
      </c>
      <c r="P112" s="6">
        <v>8.5750749999999995E-5</v>
      </c>
      <c r="Q112" s="8">
        <v>-6.1480413999999997E-2</v>
      </c>
    </row>
    <row r="113" spans="1:17" x14ac:dyDescent="0.3">
      <c r="A113" s="1">
        <v>8.9180769999999996E-5</v>
      </c>
      <c r="B113">
        <v>1.2306204000000001</v>
      </c>
      <c r="C113">
        <f t="shared" si="3"/>
        <v>5.1542977995907791E-2</v>
      </c>
      <c r="D113" s="3"/>
      <c r="E113" s="6">
        <v>2.2178839681857699E-5</v>
      </c>
      <c r="F113" s="8">
        <v>1.7986210660383101E-2</v>
      </c>
      <c r="G113" s="1">
        <f t="shared" si="5"/>
        <v>0.47920531066038308</v>
      </c>
      <c r="I113" s="6">
        <v>8.5750749999999995E-5</v>
      </c>
      <c r="J113" s="8">
        <v>0.44119673999999998</v>
      </c>
      <c r="P113" s="6">
        <v>8.7465756000000005E-5</v>
      </c>
      <c r="Q113" s="8">
        <v>-5.4379888000000001E-2</v>
      </c>
    </row>
    <row r="114" spans="1:17" x14ac:dyDescent="0.3">
      <c r="A114" s="1">
        <v>9.0895790000000004E-5</v>
      </c>
      <c r="B114">
        <v>1.2367855000000001</v>
      </c>
      <c r="C114">
        <f t="shared" si="3"/>
        <v>5.7708077995907825E-2</v>
      </c>
      <c r="D114" s="3"/>
      <c r="E114" s="6">
        <v>2.2845825392202901E-5</v>
      </c>
      <c r="F114" s="8">
        <v>1.9631587114900199E-2</v>
      </c>
      <c r="G114" s="1">
        <f t="shared" si="5"/>
        <v>0.4808506871149002</v>
      </c>
      <c r="I114" s="6">
        <v>8.7465756000000005E-5</v>
      </c>
      <c r="J114" s="8">
        <v>0.4479612</v>
      </c>
      <c r="P114" s="6">
        <v>8.9180769999999996E-5</v>
      </c>
      <c r="Q114" s="8">
        <v>-4.7427080000000003E-2</v>
      </c>
    </row>
    <row r="115" spans="1:17" x14ac:dyDescent="0.3">
      <c r="A115" s="1">
        <v>9.2610803999999995E-5</v>
      </c>
      <c r="B115">
        <v>1.2429140999999999</v>
      </c>
      <c r="C115">
        <f t="shared" si="3"/>
        <v>6.3836677995907642E-2</v>
      </c>
      <c r="D115" s="3"/>
      <c r="E115" s="6">
        <v>2.35320098119275E-5</v>
      </c>
      <c r="F115" s="8">
        <v>2.1382641660783401E-2</v>
      </c>
      <c r="G115" s="1">
        <f t="shared" si="5"/>
        <v>0.4826017416607834</v>
      </c>
      <c r="I115" s="6">
        <v>8.9180769999999996E-5</v>
      </c>
      <c r="J115" s="8">
        <v>0.45431492000000001</v>
      </c>
      <c r="P115" s="6">
        <v>9.0895790000000004E-5</v>
      </c>
      <c r="Q115" s="8">
        <v>-4.0621996E-2</v>
      </c>
    </row>
    <row r="116" spans="1:17" x14ac:dyDescent="0.3">
      <c r="A116" s="1">
        <v>9.4325820000000006E-5</v>
      </c>
      <c r="B116">
        <v>1.248966</v>
      </c>
      <c r="C116">
        <f t="shared" si="3"/>
        <v>6.9888577995907752E-2</v>
      </c>
      <c r="D116" s="3"/>
      <c r="E116" s="6">
        <v>2.4237945562228798E-5</v>
      </c>
      <c r="F116" s="8">
        <v>2.3242642380265102E-2</v>
      </c>
      <c r="G116" s="1">
        <f t="shared" si="5"/>
        <v>0.48446174238026507</v>
      </c>
      <c r="I116" s="6">
        <v>9.0895790000000004E-5</v>
      </c>
      <c r="J116" s="8">
        <v>0.46025786000000002</v>
      </c>
      <c r="P116" s="6">
        <v>9.2610803999999995E-5</v>
      </c>
      <c r="Q116" s="8">
        <v>-3.3964630000000003E-2</v>
      </c>
    </row>
    <row r="117" spans="1:17" x14ac:dyDescent="0.3">
      <c r="A117" s="1">
        <v>9.6040836000000002E-5</v>
      </c>
      <c r="B117">
        <v>1.2549412</v>
      </c>
      <c r="C117">
        <f t="shared" si="3"/>
        <v>7.5863777995907711E-2</v>
      </c>
      <c r="D117" s="3"/>
      <c r="E117" s="6">
        <v>2.49642011711123E-5</v>
      </c>
      <c r="F117" s="8">
        <v>2.5214758381849799E-2</v>
      </c>
      <c r="G117" s="1">
        <f t="shared" si="5"/>
        <v>0.48643385838184977</v>
      </c>
      <c r="I117" s="6">
        <v>9.2610803999999995E-5</v>
      </c>
      <c r="J117" s="8">
        <v>0.46579003000000002</v>
      </c>
      <c r="P117" s="6">
        <v>9.4325820000000006E-5</v>
      </c>
      <c r="Q117" s="8">
        <v>-2.7454982999999999E-2</v>
      </c>
    </row>
    <row r="118" spans="1:17" x14ac:dyDescent="0.3">
      <c r="A118" s="1">
        <v>9.7755849999999993E-5</v>
      </c>
      <c r="B118">
        <v>1.2608398000000001</v>
      </c>
      <c r="C118">
        <f t="shared" si="3"/>
        <v>8.1762377995907798E-2</v>
      </c>
      <c r="D118" s="3"/>
      <c r="E118" s="6">
        <v>2.57113615312578E-5</v>
      </c>
      <c r="F118" s="8">
        <v>2.7302051473605701E-2</v>
      </c>
      <c r="G118" s="1">
        <f t="shared" si="5"/>
        <v>0.4885211514736057</v>
      </c>
      <c r="I118" s="6">
        <v>9.4325820000000006E-5</v>
      </c>
      <c r="J118" s="8">
        <v>0.47162769999999998</v>
      </c>
      <c r="P118" s="6">
        <v>9.6040836000000002E-5</v>
      </c>
      <c r="Q118" s="8">
        <v>-2.087234E-2</v>
      </c>
    </row>
    <row r="119" spans="1:17" x14ac:dyDescent="0.3">
      <c r="A119" s="1">
        <v>9.9470860000000001E-5</v>
      </c>
      <c r="B119">
        <v>1.2666618000000001</v>
      </c>
      <c r="C119">
        <f t="shared" si="3"/>
        <v>8.7584377995907792E-2</v>
      </c>
      <c r="D119" s="3"/>
      <c r="E119" s="6">
        <v>2.6480028371064999E-5</v>
      </c>
      <c r="F119" s="8">
        <v>2.9507469693012201E-2</v>
      </c>
      <c r="G119" s="1">
        <f t="shared" si="5"/>
        <v>0.4907265696930122</v>
      </c>
      <c r="I119" s="6">
        <v>9.6040836000000002E-5</v>
      </c>
      <c r="J119" s="8">
        <v>0.47787081999999997</v>
      </c>
      <c r="P119" s="6">
        <v>9.7755849999999993E-5</v>
      </c>
      <c r="Q119" s="8">
        <v>-1.4298689E-2</v>
      </c>
    </row>
    <row r="120" spans="1:17" x14ac:dyDescent="0.3">
      <c r="A120" s="1">
        <v>1.0118587999999999E-4</v>
      </c>
      <c r="B120">
        <v>1.2724074000000001</v>
      </c>
      <c r="C120">
        <f t="shared" si="3"/>
        <v>9.3329977995907809E-2</v>
      </c>
      <c r="D120" s="3"/>
      <c r="E120" s="6">
        <v>2.7270820739257899E-5</v>
      </c>
      <c r="F120" s="8">
        <v>3.1833840915139897E-2</v>
      </c>
      <c r="G120" s="1">
        <f t="shared" si="5"/>
        <v>0.4930529409151399</v>
      </c>
      <c r="I120" s="6">
        <v>9.7755849999999993E-5</v>
      </c>
      <c r="J120" s="8">
        <v>0.4839329</v>
      </c>
      <c r="L120" t="s">
        <v>24</v>
      </c>
      <c r="M120" t="s">
        <v>25</v>
      </c>
      <c r="P120" s="6">
        <v>9.9470860000000001E-5</v>
      </c>
      <c r="Q120" s="8">
        <v>-7.8149480000000004E-3</v>
      </c>
    </row>
    <row r="121" spans="1:17" x14ac:dyDescent="0.3">
      <c r="A121" s="13">
        <v>1.0290089E-4</v>
      </c>
      <c r="B121" s="12">
        <v>1.2780967000000001</v>
      </c>
      <c r="C121">
        <f t="shared" si="3"/>
        <v>9.9019277995907817E-2</v>
      </c>
      <c r="D121" s="3"/>
      <c r="E121" s="6">
        <v>2.8084375503437502E-5</v>
      </c>
      <c r="F121" s="8">
        <v>3.42838668423954E-2</v>
      </c>
      <c r="G121" s="1">
        <f t="shared" si="5"/>
        <v>0.49550296684239536</v>
      </c>
      <c r="I121" s="6">
        <v>9.9470860000000001E-5</v>
      </c>
      <c r="J121" s="8">
        <v>0.48981397999999998</v>
      </c>
      <c r="L121" s="13">
        <v>1.0290089E-4</v>
      </c>
      <c r="M121" s="12">
        <v>1.2780967000000001</v>
      </c>
      <c r="P121" s="6">
        <v>1.0118587999999999E-4</v>
      </c>
      <c r="Q121" s="8">
        <v>-1.4211192000000001E-3</v>
      </c>
    </row>
    <row r="122" spans="1:17" x14ac:dyDescent="0.3">
      <c r="A122" s="1">
        <v>2.0580178999999999E-4</v>
      </c>
      <c r="B122">
        <v>1.5433486999999999</v>
      </c>
      <c r="C122">
        <f t="shared" si="3"/>
        <v>0.36427127799590764</v>
      </c>
      <c r="D122" s="3"/>
      <c r="E122" s="6">
        <v>2.8921347862985999E-5</v>
      </c>
      <c r="F122" s="8">
        <v>3.6860119031717202E-2</v>
      </c>
      <c r="G122" s="1">
        <f t="shared" si="5"/>
        <v>0.4980792190317172</v>
      </c>
      <c r="I122" s="6">
        <v>1.0118587999999999E-4</v>
      </c>
      <c r="J122" s="8">
        <v>0.49551403999999999</v>
      </c>
      <c r="L122" s="1">
        <v>2.0580178999999999E-4</v>
      </c>
      <c r="M122">
        <v>1.5433486999999999</v>
      </c>
      <c r="P122" s="6">
        <v>1.0290089E-4</v>
      </c>
      <c r="Q122" s="8">
        <v>4.8827990000000002E-3</v>
      </c>
    </row>
    <row r="123" spans="1:17" x14ac:dyDescent="0.3">
      <c r="A123" s="1">
        <v>3.0870266999999998E-4</v>
      </c>
      <c r="B123">
        <v>1.7195399</v>
      </c>
      <c r="C123">
        <f t="shared" si="3"/>
        <v>0.54046247799590774</v>
      </c>
      <c r="D123" s="3"/>
      <c r="E123" s="6">
        <v>2.97824118767338E-5</v>
      </c>
      <c r="F123" s="8">
        <v>3.9565033298685201E-2</v>
      </c>
      <c r="G123" s="1">
        <f t="shared" si="5"/>
        <v>0.50078413329868521</v>
      </c>
      <c r="I123" s="6">
        <v>1.0290089E-4</v>
      </c>
      <c r="J123" s="8">
        <v>0.50103306999999997</v>
      </c>
      <c r="P123" s="6">
        <v>1.0290089E-4</v>
      </c>
      <c r="Q123" s="8">
        <v>4.8827990000000002E-3</v>
      </c>
    </row>
    <row r="124" spans="1:17" x14ac:dyDescent="0.3">
      <c r="A124" s="1">
        <v>4.1160357000000002E-4</v>
      </c>
      <c r="B124">
        <v>1.854363</v>
      </c>
      <c r="C124">
        <f t="shared" si="3"/>
        <v>0.67528557799590772</v>
      </c>
      <c r="D124" s="3"/>
      <c r="E124" s="6">
        <v>3.0668261005815599E-5</v>
      </c>
      <c r="F124" s="8">
        <v>4.2400907036501199E-2</v>
      </c>
      <c r="G124" s="1">
        <f t="shared" si="5"/>
        <v>0.50362000703650123</v>
      </c>
      <c r="I124" s="6">
        <v>1.0290089E-4</v>
      </c>
      <c r="J124" s="8">
        <v>0.50103306999999997</v>
      </c>
      <c r="L124" s="1"/>
      <c r="P124" s="6">
        <v>2.0580178999999999E-4</v>
      </c>
      <c r="Q124" s="8">
        <v>0.29069426999999998</v>
      </c>
    </row>
    <row r="125" spans="1:17" x14ac:dyDescent="0.3">
      <c r="A125" s="1">
        <v>5.1450444000000002E-4</v>
      </c>
      <c r="B125">
        <v>1.9606551999999999</v>
      </c>
      <c r="C125">
        <f t="shared" si="3"/>
        <v>0.78157777799590766</v>
      </c>
      <c r="D125" s="3"/>
      <c r="E125" s="6">
        <v>3.1579608672151598E-5</v>
      </c>
      <c r="F125" s="8">
        <v>4.5369896709143799E-2</v>
      </c>
      <c r="G125" s="1">
        <f t="shared" si="5"/>
        <v>0.50658899670914381</v>
      </c>
      <c r="I125" s="6">
        <v>2.0580178999999999E-4</v>
      </c>
      <c r="J125" s="8">
        <v>0.72483030000000004</v>
      </c>
      <c r="L125" s="1">
        <v>1.4686064283491663E-4</v>
      </c>
      <c r="M125" s="1">
        <f>(M122-M121)/(L122-L121)*(L125-L121)+M121</f>
        <v>1.3914136132531134</v>
      </c>
      <c r="P125" s="6">
        <v>3.0870266999999998E-4</v>
      </c>
      <c r="Q125" s="8">
        <v>0.48331400000000002</v>
      </c>
    </row>
    <row r="126" spans="1:17" x14ac:dyDescent="0.3">
      <c r="A126" s="1">
        <v>6.1740533999999996E-4</v>
      </c>
      <c r="B126">
        <v>2.0488903999999999</v>
      </c>
      <c r="C126">
        <f t="shared" si="3"/>
        <v>0.86981297799590762</v>
      </c>
      <c r="D126" s="3"/>
      <c r="E126" s="6">
        <v>3.2517188833004498E-5</v>
      </c>
      <c r="F126" s="8">
        <v>4.8474013703960497E-2</v>
      </c>
      <c r="G126" s="1">
        <f t="shared" si="5"/>
        <v>0.50969311370396053</v>
      </c>
      <c r="I126" s="6">
        <v>3.0870266999999998E-4</v>
      </c>
      <c r="J126" s="8">
        <v>0.86668056000000004</v>
      </c>
      <c r="P126" s="6">
        <v>4.1160357000000002E-4</v>
      </c>
      <c r="Q126" s="8">
        <v>0.62503960000000003</v>
      </c>
    </row>
    <row r="127" spans="1:17" x14ac:dyDescent="0.3">
      <c r="A127" s="1">
        <v>7.2030624E-4</v>
      </c>
      <c r="B127">
        <v>2.1246125999999999</v>
      </c>
      <c r="C127">
        <f t="shared" si="3"/>
        <v>0.94553517799590758</v>
      </c>
      <c r="D127" s="3"/>
      <c r="E127" s="6">
        <v>3.3481756572075199E-5</v>
      </c>
      <c r="F127" s="8">
        <v>5.1715124267876098E-2</v>
      </c>
      <c r="G127" s="1">
        <f t="shared" si="5"/>
        <v>0.51293422426787605</v>
      </c>
      <c r="I127" s="6">
        <v>4.1160357000000002E-4</v>
      </c>
      <c r="J127" s="8">
        <v>0.96879786000000001</v>
      </c>
      <c r="P127" s="6">
        <v>5.1450444000000002E-4</v>
      </c>
      <c r="Q127" s="8">
        <v>0.73626259999999999</v>
      </c>
    </row>
    <row r="128" spans="1:17" x14ac:dyDescent="0.3">
      <c r="A128" s="1">
        <v>8.2320714000000004E-4</v>
      </c>
      <c r="B128">
        <v>2.191017</v>
      </c>
      <c r="C128">
        <f t="shared" si="3"/>
        <v>1.0119395779959077</v>
      </c>
      <c r="D128" s="3"/>
      <c r="E128" s="6">
        <v>3.4474088707611903E-5</v>
      </c>
      <c r="F128" s="8">
        <v>5.5094948601752403E-2</v>
      </c>
      <c r="G128" s="1">
        <f t="shared" si="5"/>
        <v>0.51631404860175234</v>
      </c>
      <c r="I128" s="6">
        <v>5.1450444000000002E-4</v>
      </c>
      <c r="J128" s="8">
        <v>1.0494098999999999</v>
      </c>
      <c r="P128" s="6">
        <v>6.1740533999999996E-4</v>
      </c>
      <c r="Q128" s="8">
        <v>0.83201736000000004</v>
      </c>
    </row>
    <row r="129" spans="1:17" x14ac:dyDescent="0.3">
      <c r="A129" s="1">
        <v>9.2610803999999998E-4</v>
      </c>
      <c r="B129">
        <v>2.2499365999999998</v>
      </c>
      <c r="C129">
        <f t="shared" si="3"/>
        <v>1.0708591779959076</v>
      </c>
      <c r="D129" s="3"/>
      <c r="E129" s="6">
        <v>3.5494984418023602E-5</v>
      </c>
      <c r="F129" s="8">
        <v>5.8615058848727301E-2</v>
      </c>
      <c r="G129" s="1">
        <f t="shared" si="5"/>
        <v>0.5198341588487273</v>
      </c>
      <c r="I129" s="6">
        <v>6.1740533999999996E-4</v>
      </c>
      <c r="J129" s="8">
        <v>1.1160011000000001</v>
      </c>
      <c r="P129" s="6">
        <v>7.2030624E-4</v>
      </c>
      <c r="Q129" s="8">
        <v>0.91482209999999997</v>
      </c>
    </row>
    <row r="130" spans="1:17" x14ac:dyDescent="0.3">
      <c r="A130">
        <v>1.0290089E-3</v>
      </c>
      <c r="B130">
        <v>2.3026135000000001</v>
      </c>
      <c r="C130">
        <f t="shared" si="3"/>
        <v>1.1235360779959078</v>
      </c>
      <c r="D130" s="3"/>
      <c r="E130" s="6">
        <v>3.6545265885501499E-5</v>
      </c>
      <c r="F130" s="8">
        <v>6.2276880038429398E-2</v>
      </c>
      <c r="G130" s="1">
        <f t="shared" si="5"/>
        <v>0.52349598003842934</v>
      </c>
      <c r="I130" s="6">
        <v>7.2030624E-4</v>
      </c>
      <c r="J130" s="8">
        <v>1.1740273999999999</v>
      </c>
      <c r="P130" s="6">
        <v>8.2320714000000004E-4</v>
      </c>
      <c r="Q130" s="8">
        <v>0.98614544000000004</v>
      </c>
    </row>
    <row r="131" spans="1:17" x14ac:dyDescent="0.3">
      <c r="A131">
        <v>1.1319098E-3</v>
      </c>
      <c r="B131">
        <v>2.3501248000000001</v>
      </c>
      <c r="C131">
        <f t="shared" si="3"/>
        <v>1.1710473779959079</v>
      </c>
      <c r="D131" s="3"/>
      <c r="E131" s="6">
        <v>3.7625778958166599E-5</v>
      </c>
      <c r="F131" s="8">
        <v>6.6081690458704198E-2</v>
      </c>
      <c r="G131" s="1">
        <f t="shared" si="5"/>
        <v>0.52730079045870415</v>
      </c>
      <c r="I131" s="6">
        <v>8.2320714000000004E-4</v>
      </c>
      <c r="J131" s="8">
        <v>1.2265728</v>
      </c>
      <c r="P131" s="6">
        <v>9.2610803999999998E-4</v>
      </c>
      <c r="Q131" s="8">
        <v>1.0485173000000001</v>
      </c>
    </row>
    <row r="132" spans="1:17" x14ac:dyDescent="0.3">
      <c r="A132">
        <v>1.2348107000000001E-3</v>
      </c>
      <c r="B132">
        <v>2.3933916000000002</v>
      </c>
      <c r="C132">
        <f t="shared" ref="C132:C195" si="6">B132-2*PI()*1.68*(0.1187-0.007)</f>
        <v>1.2143141779959079</v>
      </c>
      <c r="D132" s="3"/>
      <c r="E132" s="6">
        <v>3.8737393831276603E-5</v>
      </c>
      <c r="F132" s="8">
        <v>7.0030623745130693E-2</v>
      </c>
      <c r="G132" s="1">
        <f t="shared" ref="G132:G195" si="7">$B$3+F132</f>
        <v>0.53124972374513069</v>
      </c>
      <c r="I132" s="6">
        <v>9.2610803999999998E-4</v>
      </c>
      <c r="J132" s="8">
        <v>1.2738248000000001</v>
      </c>
      <c r="P132" s="9">
        <v>1.0290089E-3</v>
      </c>
      <c r="Q132" s="8">
        <v>1.1039931999999999</v>
      </c>
    </row>
    <row r="133" spans="1:17" x14ac:dyDescent="0.3">
      <c r="A133">
        <v>1.3377116000000001E-3</v>
      </c>
      <c r="B133">
        <v>2.4333909999999999</v>
      </c>
      <c r="C133">
        <f t="shared" si="6"/>
        <v>1.2543135779959076</v>
      </c>
      <c r="D133" s="3"/>
      <c r="E133" s="6">
        <v>3.9881005748040803E-5</v>
      </c>
      <c r="F133" s="8">
        <v>7.4124667327152505E-2</v>
      </c>
      <c r="G133" s="1">
        <f t="shared" si="7"/>
        <v>0.5353437673271525</v>
      </c>
      <c r="I133" s="9">
        <v>1.0290089E-3</v>
      </c>
      <c r="J133" s="8">
        <v>1.3164849999999999</v>
      </c>
      <c r="P133" s="9">
        <v>1.1319098E-3</v>
      </c>
      <c r="Q133" s="8">
        <v>1.1534888000000001</v>
      </c>
    </row>
    <row r="134" spans="1:17" x14ac:dyDescent="0.3">
      <c r="A134" s="1">
        <v>1.4406124999999999E-3</v>
      </c>
      <c r="B134">
        <v>2.4702510000000002</v>
      </c>
      <c r="C134">
        <f t="shared" si="6"/>
        <v>1.2911735779959079</v>
      </c>
      <c r="D134" s="3"/>
      <c r="E134" s="6">
        <v>4.1057535720607602E-5</v>
      </c>
      <c r="F134" s="8">
        <v>7.8364667136347793E-2</v>
      </c>
      <c r="G134" s="1">
        <f t="shared" si="7"/>
        <v>0.53958376713634781</v>
      </c>
      <c r="I134" s="9">
        <v>1.1319098E-3</v>
      </c>
      <c r="J134" s="8">
        <v>1.3561144999999999</v>
      </c>
      <c r="P134" s="9">
        <v>1.2348107000000001E-3</v>
      </c>
      <c r="Q134" s="8">
        <v>1.1982109999999999</v>
      </c>
    </row>
    <row r="135" spans="1:17" x14ac:dyDescent="0.3">
      <c r="A135">
        <v>1.5435134E-3</v>
      </c>
      <c r="B135">
        <v>2.5045996000000001</v>
      </c>
      <c r="C135">
        <f t="shared" si="6"/>
        <v>1.3255221779959079</v>
      </c>
      <c r="D135" s="3"/>
      <c r="E135" s="6">
        <v>4.2267931271805501E-5</v>
      </c>
      <c r="F135" s="8">
        <v>8.2751329019438102E-2</v>
      </c>
      <c r="G135" s="1">
        <f t="shared" si="7"/>
        <v>0.54397042901943804</v>
      </c>
      <c r="I135" s="9">
        <v>1.2348107000000001E-3</v>
      </c>
      <c r="J135" s="8">
        <v>1.3922067</v>
      </c>
      <c r="P135" s="9">
        <v>1.3377116000000001E-3</v>
      </c>
      <c r="Q135" s="8">
        <v>1.2390888</v>
      </c>
    </row>
    <row r="136" spans="1:17" x14ac:dyDescent="0.3">
      <c r="A136">
        <v>1.6464143E-3</v>
      </c>
      <c r="B136">
        <v>2.5368141999999998</v>
      </c>
      <c r="C136">
        <f t="shared" si="6"/>
        <v>1.3577367779959075</v>
      </c>
      <c r="D136" s="3"/>
      <c r="E136" s="6">
        <v>4.3513167198233498E-5</v>
      </c>
      <c r="F136" s="8">
        <v>8.7285221980385602E-2</v>
      </c>
      <c r="G136" s="1">
        <f t="shared" si="7"/>
        <v>0.54850432198038557</v>
      </c>
      <c r="I136" s="9">
        <v>1.3377116000000001E-3</v>
      </c>
      <c r="J136" s="8">
        <v>1.425433</v>
      </c>
      <c r="P136" s="9">
        <v>1.4406124999999999E-3</v>
      </c>
      <c r="Q136" s="8">
        <v>1.2769396</v>
      </c>
    </row>
    <row r="137" spans="1:17" x14ac:dyDescent="0.3">
      <c r="A137">
        <v>1.7493152000000001E-3</v>
      </c>
      <c r="B137">
        <v>2.5670446999999998</v>
      </c>
      <c r="C137">
        <f t="shared" si="6"/>
        <v>1.3879672779959076</v>
      </c>
      <c r="D137" s="3"/>
      <c r="E137" s="6">
        <v>4.47942463553176E-5</v>
      </c>
      <c r="F137" s="8">
        <v>9.1966779078333602E-2</v>
      </c>
      <c r="G137" s="1">
        <f t="shared" si="7"/>
        <v>0.55318587907833361</v>
      </c>
      <c r="I137" s="9">
        <v>1.4406124999999999E-3</v>
      </c>
      <c r="J137" s="8">
        <v>1.456655</v>
      </c>
      <c r="P137" s="9">
        <v>1.5435134E-3</v>
      </c>
      <c r="Q137" s="8">
        <v>1.3126884000000001</v>
      </c>
    </row>
    <row r="138" spans="1:17" x14ac:dyDescent="0.3">
      <c r="A138">
        <v>1.8522161000000001E-3</v>
      </c>
      <c r="B138">
        <v>2.5957463000000001</v>
      </c>
      <c r="C138">
        <f t="shared" si="6"/>
        <v>1.4166688779959078</v>
      </c>
      <c r="D138" s="3"/>
      <c r="E138" s="6">
        <v>4.6112200464964197E-5</v>
      </c>
      <c r="F138" s="8">
        <v>9.6796301750271693E-2</v>
      </c>
      <c r="G138" s="1">
        <f t="shared" si="7"/>
        <v>0.55801540175027164</v>
      </c>
      <c r="I138" s="9">
        <v>1.5435134E-3</v>
      </c>
      <c r="J138" s="8">
        <v>1.4852449000000001</v>
      </c>
      <c r="P138" s="9">
        <v>1.6464143E-3</v>
      </c>
      <c r="Q138" s="8">
        <v>1.3457922</v>
      </c>
    </row>
    <row r="139" spans="1:17" x14ac:dyDescent="0.3">
      <c r="A139">
        <v>1.9551169000000001E-3</v>
      </c>
      <c r="B139">
        <v>2.622763</v>
      </c>
      <c r="C139">
        <f t="shared" si="6"/>
        <v>1.4436855779959077</v>
      </c>
      <c r="D139" s="3"/>
      <c r="E139" s="6">
        <v>4.7468090946461103E-5</v>
      </c>
      <c r="F139" s="8">
        <v>0.101773963692439</v>
      </c>
      <c r="G139" s="1">
        <f t="shared" si="7"/>
        <v>0.56299306369243896</v>
      </c>
      <c r="I139" s="9">
        <v>1.6464143E-3</v>
      </c>
      <c r="J139" s="8">
        <v>1.5118613999999999</v>
      </c>
      <c r="P139" s="9">
        <v>1.7493152000000001E-3</v>
      </c>
      <c r="Q139" s="8">
        <v>1.3771656000000001</v>
      </c>
    </row>
    <row r="140" spans="1:17" x14ac:dyDescent="0.3">
      <c r="A140">
        <v>2.0580177999999999E-3</v>
      </c>
      <c r="B140">
        <v>2.6484504000000002</v>
      </c>
      <c r="C140">
        <f t="shared" si="6"/>
        <v>1.4693729779959079</v>
      </c>
      <c r="D140" s="3"/>
      <c r="E140" s="6">
        <v>4.8863009771295402E-5</v>
      </c>
      <c r="F140" s="8">
        <v>0.106899814331388</v>
      </c>
      <c r="G140" s="1">
        <f t="shared" si="7"/>
        <v>0.56811891433138795</v>
      </c>
      <c r="I140" s="9">
        <v>1.7493152000000001E-3</v>
      </c>
      <c r="J140" s="8">
        <v>1.5373962999999999</v>
      </c>
      <c r="P140" s="9">
        <v>1.8522161000000001E-3</v>
      </c>
      <c r="Q140" s="8">
        <v>1.4067619</v>
      </c>
    </row>
    <row r="141" spans="1:17" x14ac:dyDescent="0.3">
      <c r="A141">
        <v>2.1609187000000002E-3</v>
      </c>
      <c r="B141">
        <v>2.6728532</v>
      </c>
      <c r="C141">
        <f t="shared" si="6"/>
        <v>1.4937757779959078</v>
      </c>
      <c r="D141" s="3"/>
      <c r="E141" s="6">
        <v>5.0298080342577201E-5</v>
      </c>
      <c r="F141" s="8">
        <v>0.112173783825385</v>
      </c>
      <c r="G141" s="1">
        <f t="shared" si="7"/>
        <v>0.573392883825385</v>
      </c>
      <c r="I141" s="9">
        <v>1.8522161000000001E-3</v>
      </c>
      <c r="J141" s="8">
        <v>1.5612096</v>
      </c>
      <c r="P141" s="9">
        <v>1.9551169000000001E-3</v>
      </c>
      <c r="Q141" s="8">
        <v>1.4346945</v>
      </c>
    </row>
    <row r="142" spans="1:17" x14ac:dyDescent="0.3">
      <c r="A142">
        <v>2.2638196E-3</v>
      </c>
      <c r="B142">
        <v>2.6960570000000001</v>
      </c>
      <c r="C142">
        <f t="shared" si="6"/>
        <v>1.5169795779959079</v>
      </c>
      <c r="D142" s="3"/>
      <c r="E142" s="6">
        <v>5.1774458399775999E-5</v>
      </c>
      <c r="F142" s="8">
        <v>0.11759568358975001</v>
      </c>
      <c r="G142" s="1">
        <f t="shared" si="7"/>
        <v>0.57881478358975003</v>
      </c>
      <c r="I142" s="9">
        <v>1.9551169000000001E-3</v>
      </c>
      <c r="J142" s="8">
        <v>1.5836834</v>
      </c>
      <c r="P142" s="9">
        <v>2.0580177999999999E-3</v>
      </c>
      <c r="Q142" s="8">
        <v>1.4612423000000001</v>
      </c>
    </row>
    <row r="143" spans="1:17" x14ac:dyDescent="0.3">
      <c r="A143">
        <v>2.3667204999999998E-3</v>
      </c>
      <c r="B143">
        <v>2.7182086000000001</v>
      </c>
      <c r="C143">
        <f t="shared" si="6"/>
        <v>1.5391311779959078</v>
      </c>
      <c r="D143" s="3"/>
      <c r="E143" s="6">
        <v>5.3293332949500198E-5</v>
      </c>
      <c r="F143" s="8">
        <v>0.123165213501018</v>
      </c>
      <c r="G143" s="1">
        <f t="shared" si="7"/>
        <v>0.58438431350101805</v>
      </c>
      <c r="I143" s="9">
        <v>2.0580177999999999E-3</v>
      </c>
      <c r="J143" s="8">
        <v>1.6053624</v>
      </c>
      <c r="P143" s="9">
        <v>2.1609187000000002E-3</v>
      </c>
      <c r="Q143" s="8">
        <v>1.4863869000000001</v>
      </c>
    </row>
    <row r="144" spans="1:17" x14ac:dyDescent="0.3">
      <c r="A144">
        <v>2.4696214000000001E-3</v>
      </c>
      <c r="B144">
        <v>2.7393657999999999</v>
      </c>
      <c r="C144">
        <f t="shared" si="6"/>
        <v>1.5602883779959076</v>
      </c>
      <c r="D144" s="3"/>
      <c r="E144" s="6">
        <v>5.4855927223068002E-5</v>
      </c>
      <c r="F144" s="8">
        <v>0.12888196512432501</v>
      </c>
      <c r="G144" s="1">
        <f t="shared" si="7"/>
        <v>0.59010106512432503</v>
      </c>
      <c r="I144" s="9">
        <v>2.1609187000000002E-3</v>
      </c>
      <c r="J144" s="8">
        <v>1.6258614</v>
      </c>
      <c r="P144" s="9">
        <v>2.2638196E-3</v>
      </c>
      <c r="Q144" s="8">
        <v>1.5103449</v>
      </c>
    </row>
    <row r="145" spans="1:17" x14ac:dyDescent="0.3">
      <c r="A145">
        <v>4.9392426999999997E-3</v>
      </c>
      <c r="B145">
        <v>3.1041639999999999</v>
      </c>
      <c r="C145">
        <f t="shared" si="6"/>
        <v>1.9250865779959077</v>
      </c>
      <c r="D145" s="3"/>
      <c r="E145" s="6">
        <v>5.6463499661641101E-5</v>
      </c>
      <c r="F145" s="8">
        <v>0.13474542622771701</v>
      </c>
      <c r="G145" s="1">
        <f t="shared" si="7"/>
        <v>0.59596452622771701</v>
      </c>
      <c r="I145" s="9">
        <v>2.2638196E-3</v>
      </c>
      <c r="J145" s="8">
        <v>1.6452988</v>
      </c>
      <c r="P145" s="9">
        <v>2.3667204999999998E-3</v>
      </c>
      <c r="Q145" s="8">
        <v>1.5331215</v>
      </c>
    </row>
    <row r="146" spans="1:17" x14ac:dyDescent="0.3">
      <c r="A146">
        <v>7.4088642999999999E-3</v>
      </c>
      <c r="B146">
        <v>3.3091780000000002</v>
      </c>
      <c r="C146">
        <f t="shared" si="6"/>
        <v>2.1301005779959077</v>
      </c>
      <c r="D146" s="3"/>
      <c r="E146" s="6">
        <v>5.8117344929715303E-5</v>
      </c>
      <c r="F146" s="8">
        <v>0.140754985252941</v>
      </c>
      <c r="G146" s="1">
        <f t="shared" si="7"/>
        <v>0.60197408525294094</v>
      </c>
      <c r="I146" s="9">
        <v>2.3667204999999998E-3</v>
      </c>
      <c r="J146" s="8">
        <v>1.6639356999999999</v>
      </c>
      <c r="P146" s="9">
        <v>2.4696214000000001E-3</v>
      </c>
      <c r="Q146" s="8">
        <v>1.5548341999999999</v>
      </c>
    </row>
    <row r="147" spans="1:17" x14ac:dyDescent="0.3">
      <c r="A147">
        <v>9.8784849999999993E-3</v>
      </c>
      <c r="B147">
        <v>3.4646865999999998</v>
      </c>
      <c r="C147">
        <f t="shared" si="6"/>
        <v>2.2856091779959078</v>
      </c>
      <c r="D147" s="3"/>
      <c r="E147" s="6">
        <v>5.9818794957783299E-5</v>
      </c>
      <c r="F147" s="8">
        <v>0.14690993776484301</v>
      </c>
      <c r="G147" s="1">
        <f t="shared" si="7"/>
        <v>0.60812903776484295</v>
      </c>
      <c r="I147" s="9">
        <v>2.4696214000000001E-3</v>
      </c>
      <c r="J147" s="8">
        <v>1.6817477000000001</v>
      </c>
      <c r="P147" s="9">
        <v>2.4696214000000001E-3</v>
      </c>
      <c r="Q147" s="8">
        <v>1.5548341999999999</v>
      </c>
    </row>
    <row r="148" spans="1:17" x14ac:dyDescent="0.3">
      <c r="A148">
        <v>1.2348107000000001E-2</v>
      </c>
      <c r="B148">
        <v>3.5961664</v>
      </c>
      <c r="C148">
        <f t="shared" si="6"/>
        <v>2.4170889779959079</v>
      </c>
      <c r="D148" s="3"/>
      <c r="E148" s="6">
        <v>6.1569220015009703E-5</v>
      </c>
      <c r="F148" s="8">
        <v>0.15320948563550699</v>
      </c>
      <c r="G148" s="1">
        <f t="shared" si="7"/>
        <v>0.61442858563550695</v>
      </c>
      <c r="I148" s="9">
        <v>2.4696214000000001E-3</v>
      </c>
      <c r="J148" s="8">
        <v>1.6817477000000001</v>
      </c>
      <c r="P148" s="9">
        <v>4.9392426999999997E-3</v>
      </c>
      <c r="Q148" s="8">
        <v>1.9070031999999999</v>
      </c>
    </row>
    <row r="149" spans="1:17" x14ac:dyDescent="0.3">
      <c r="A149">
        <v>1.4817729E-2</v>
      </c>
      <c r="B149">
        <v>3.7144341000000001</v>
      </c>
      <c r="C149">
        <f t="shared" si="6"/>
        <v>2.5353566779959076</v>
      </c>
      <c r="D149" s="3"/>
      <c r="E149" s="6">
        <v>6.3370029812782801E-5</v>
      </c>
      <c r="F149" s="8">
        <v>0.159652745576921</v>
      </c>
      <c r="G149" s="1">
        <f t="shared" si="7"/>
        <v>0.62087184557692099</v>
      </c>
      <c r="I149" s="9">
        <v>4.9392426999999997E-3</v>
      </c>
      <c r="J149" s="8">
        <v>1.9918233000000001</v>
      </c>
      <c r="P149" s="9">
        <v>7.4088642999999999E-3</v>
      </c>
      <c r="Q149" s="8">
        <v>2.1183765000000001</v>
      </c>
    </row>
    <row r="150" spans="1:17" x14ac:dyDescent="0.3">
      <c r="A150">
        <v>1.728735E-2</v>
      </c>
      <c r="B150">
        <v>3.8213097999999999</v>
      </c>
      <c r="C150">
        <f t="shared" si="6"/>
        <v>2.6422323779959074</v>
      </c>
      <c r="D150" s="3"/>
      <c r="E150" s="6">
        <v>6.5222674640030601E-5</v>
      </c>
      <c r="F150" s="8">
        <v>0.16623875268958399</v>
      </c>
      <c r="G150" s="1">
        <f t="shared" si="7"/>
        <v>0.62745785268958398</v>
      </c>
      <c r="I150" s="9">
        <v>7.4088642999999999E-3</v>
      </c>
      <c r="J150" s="8">
        <v>2.1892667000000001</v>
      </c>
      <c r="P150" s="9">
        <v>9.8784849999999993E-3</v>
      </c>
      <c r="Q150" s="8">
        <v>2.2791388000000001</v>
      </c>
    </row>
    <row r="151" spans="1:17" x14ac:dyDescent="0.3">
      <c r="A151">
        <v>1.9756969999999999E-2</v>
      </c>
      <c r="B151">
        <v>3.9204667</v>
      </c>
      <c r="C151">
        <f t="shared" si="6"/>
        <v>2.7413892779959079</v>
      </c>
      <c r="D151" s="3"/>
      <c r="E151" s="6">
        <v>6.71286465312168E-5</v>
      </c>
      <c r="F151" s="8">
        <v>0.17296646513278399</v>
      </c>
      <c r="G151" s="1">
        <f t="shared" si="7"/>
        <v>0.63418556513278401</v>
      </c>
      <c r="I151" s="9">
        <v>9.8784849999999993E-3</v>
      </c>
      <c r="J151" s="8">
        <v>2.3401227000000002</v>
      </c>
      <c r="P151" s="9">
        <v>1.2348107000000001E-2</v>
      </c>
      <c r="Q151" s="8">
        <v>2.4159830000000002</v>
      </c>
    </row>
    <row r="152" spans="1:17" x14ac:dyDescent="0.3">
      <c r="A152">
        <v>2.2226592999999999E-2</v>
      </c>
      <c r="B152">
        <v>4.0133210000000004</v>
      </c>
      <c r="C152">
        <f t="shared" si="6"/>
        <v>2.8342435779959079</v>
      </c>
      <c r="D152" s="3"/>
      <c r="E152" s="6">
        <v>6.9089480467956005E-5</v>
      </c>
      <c r="F152" s="8">
        <v>0.17983476762233699</v>
      </c>
      <c r="G152" s="1">
        <f t="shared" si="7"/>
        <v>0.64105386762233696</v>
      </c>
      <c r="I152" s="9">
        <v>1.2348107000000001E-2</v>
      </c>
      <c r="J152" s="8">
        <v>2.4678407</v>
      </c>
      <c r="P152" s="9">
        <v>1.4817729E-2</v>
      </c>
      <c r="Q152" s="8">
        <v>2.5368780000000002</v>
      </c>
    </row>
    <row r="153" spans="1:17" x14ac:dyDescent="0.3">
      <c r="A153">
        <v>2.4696214000000001E-2</v>
      </c>
      <c r="B153">
        <v>4.1004810000000003</v>
      </c>
      <c r="C153">
        <f t="shared" si="6"/>
        <v>2.9214035779959078</v>
      </c>
      <c r="D153" s="3"/>
      <c r="E153" s="6">
        <v>7.1106755615217104E-5</v>
      </c>
      <c r="F153" s="8">
        <v>0.18684247643412499</v>
      </c>
      <c r="G153" s="1">
        <f t="shared" si="7"/>
        <v>0.64806157643412499</v>
      </c>
      <c r="I153" s="9">
        <v>1.4817729E-2</v>
      </c>
      <c r="J153" s="8">
        <v>2.5836209999999999</v>
      </c>
      <c r="P153" s="9">
        <v>1.728735E-2</v>
      </c>
      <c r="Q153" s="8">
        <v>2.6448054000000001</v>
      </c>
    </row>
    <row r="154" spans="1:17" x14ac:dyDescent="0.3">
      <c r="A154">
        <v>2.7165835999999999E-2</v>
      </c>
      <c r="B154">
        <v>4.1831240000000003</v>
      </c>
      <c r="C154">
        <f t="shared" si="6"/>
        <v>3.0040465779959078</v>
      </c>
      <c r="D154" s="3"/>
      <c r="E154" s="6">
        <v>7.3182096593109601E-5</v>
      </c>
      <c r="F154" s="8">
        <v>0.19398834481424701</v>
      </c>
      <c r="G154" s="1">
        <f t="shared" si="7"/>
        <v>0.65520744481424698</v>
      </c>
      <c r="I154" s="9">
        <v>1.728735E-2</v>
      </c>
      <c r="J154" s="8">
        <v>2.6890242</v>
      </c>
      <c r="P154" s="9">
        <v>1.9756969999999999E-2</v>
      </c>
      <c r="Q154" s="8">
        <v>2.7429770000000002</v>
      </c>
    </row>
    <row r="155" spans="1:17" x14ac:dyDescent="0.3">
      <c r="A155">
        <v>2.9635457E-2</v>
      </c>
      <c r="B155">
        <v>4.2619660000000001</v>
      </c>
      <c r="C155">
        <f t="shared" si="6"/>
        <v>3.0828885779959077</v>
      </c>
      <c r="D155" s="3"/>
      <c r="E155" s="6">
        <v>7.5317174785277801E-5</v>
      </c>
      <c r="F155" s="8">
        <v>0.201271064356568</v>
      </c>
      <c r="G155" s="1">
        <f t="shared" si="7"/>
        <v>0.66249016435656793</v>
      </c>
      <c r="I155" s="9">
        <v>1.9756969999999999E-2</v>
      </c>
      <c r="J155" s="8">
        <v>2.7872853000000002</v>
      </c>
      <c r="P155" s="9">
        <v>2.2226592999999999E-2</v>
      </c>
      <c r="Q155" s="8">
        <v>2.8346488000000001</v>
      </c>
    </row>
    <row r="156" spans="1:17" x14ac:dyDescent="0.3">
      <c r="A156">
        <v>3.2105077000000003E-2</v>
      </c>
      <c r="B156">
        <v>4.3382740000000002</v>
      </c>
      <c r="C156">
        <f t="shared" si="6"/>
        <v>3.1591965779959077</v>
      </c>
      <c r="D156" s="3"/>
      <c r="E156" s="6">
        <v>7.7513709684955498E-5</v>
      </c>
      <c r="F156" s="8">
        <v>0.20868926949184999</v>
      </c>
      <c r="G156" s="1">
        <f t="shared" si="7"/>
        <v>0.66990836949184995</v>
      </c>
      <c r="I156" s="9">
        <v>2.2226592999999999E-2</v>
      </c>
      <c r="J156" s="8">
        <v>2.8786982999999999</v>
      </c>
      <c r="P156" s="9">
        <v>2.4696214000000001E-2</v>
      </c>
      <c r="Q156" s="8">
        <v>2.921411</v>
      </c>
    </row>
    <row r="157" spans="1:17" x14ac:dyDescent="0.3">
      <c r="A157">
        <v>3.45747E-2</v>
      </c>
      <c r="B157">
        <v>4.4121356</v>
      </c>
      <c r="C157">
        <f t="shared" si="6"/>
        <v>3.2330581779959076</v>
      </c>
      <c r="D157" s="3"/>
      <c r="E157" s="6">
        <v>7.9773470279766596E-5</v>
      </c>
      <c r="F157" s="8">
        <v>0.216241542916215</v>
      </c>
      <c r="G157" s="1">
        <f t="shared" si="7"/>
        <v>0.67746064291621499</v>
      </c>
      <c r="I157" s="9">
        <v>2.4696214000000001E-2</v>
      </c>
      <c r="J157" s="8">
        <v>2.9653090999999998</v>
      </c>
      <c r="P157" s="9">
        <v>2.7165835999999999E-2</v>
      </c>
      <c r="Q157" s="8">
        <v>3.0038870000000002</v>
      </c>
    </row>
    <row r="158" spans="1:17" x14ac:dyDescent="0.3">
      <c r="A158">
        <v>3.7044319999999999E-2</v>
      </c>
      <c r="B158">
        <v>4.4839909999999996</v>
      </c>
      <c r="C158">
        <f t="shared" si="6"/>
        <v>3.3049135779959071</v>
      </c>
      <c r="D158" s="3"/>
      <c r="E158" s="6">
        <v>8.2098276476385594E-5</v>
      </c>
      <c r="F158" s="8">
        <v>0.22392641835141999</v>
      </c>
      <c r="G158" s="1">
        <f t="shared" si="7"/>
        <v>0.68514551835142001</v>
      </c>
      <c r="I158" s="9">
        <v>2.7165835999999999E-2</v>
      </c>
      <c r="J158" s="8">
        <v>3.0469875000000002</v>
      </c>
      <c r="P158" s="9">
        <v>2.9635457E-2</v>
      </c>
      <c r="Q158" s="8">
        <v>3.0828505000000002</v>
      </c>
    </row>
    <row r="159" spans="1:17" x14ac:dyDescent="0.3">
      <c r="A159">
        <v>3.9513939999999997E-2</v>
      </c>
      <c r="B159">
        <v>4.5541244000000001</v>
      </c>
      <c r="C159">
        <f t="shared" si="6"/>
        <v>3.3750469779959076</v>
      </c>
      <c r="D159" s="3"/>
      <c r="E159" s="6">
        <v>8.4490000566206898E-5</v>
      </c>
      <c r="F159" s="8">
        <v>0.23174238456858501</v>
      </c>
      <c r="G159" s="1">
        <f t="shared" si="7"/>
        <v>0.69296148456858497</v>
      </c>
      <c r="I159" s="9">
        <v>2.9635457E-2</v>
      </c>
      <c r="J159" s="8">
        <v>3.1258477999999998</v>
      </c>
      <c r="P159" s="9">
        <v>3.2105077000000003E-2</v>
      </c>
      <c r="Q159" s="8">
        <v>3.1588704999999999</v>
      </c>
    </row>
    <row r="160" spans="1:17" x14ac:dyDescent="0.3">
      <c r="A160">
        <v>4.1983563000000002E-2</v>
      </c>
      <c r="B160">
        <v>4.6227229999999997</v>
      </c>
      <c r="C160">
        <f t="shared" si="6"/>
        <v>3.4436455779959072</v>
      </c>
      <c r="D160" s="3"/>
      <c r="E160" s="6">
        <v>8.6950568733200996E-5</v>
      </c>
      <c r="F160" s="8">
        <v>0.23968788910517499</v>
      </c>
      <c r="G160" s="1">
        <f t="shared" si="7"/>
        <v>0.70090698910517502</v>
      </c>
      <c r="I160" s="9">
        <v>3.2105077000000003E-2</v>
      </c>
      <c r="J160" s="8">
        <v>3.2014399</v>
      </c>
      <c r="P160" s="9">
        <v>3.45747E-2</v>
      </c>
      <c r="Q160" s="8">
        <v>3.2323884999999999</v>
      </c>
    </row>
    <row r="161" spans="1:17" x14ac:dyDescent="0.3">
      <c r="A161">
        <v>4.4453184999999999E-2</v>
      </c>
      <c r="B161">
        <v>4.6898660000000003</v>
      </c>
      <c r="C161">
        <f t="shared" si="6"/>
        <v>3.5107885779959078</v>
      </c>
      <c r="D161" s="3"/>
      <c r="E161" s="6">
        <v>8.9481962605174301E-5</v>
      </c>
      <c r="F161" s="8">
        <v>0.24776134141613801</v>
      </c>
      <c r="G161" s="1">
        <f t="shared" si="7"/>
        <v>0.70898044141613803</v>
      </c>
      <c r="I161" s="9">
        <v>3.45747E-2</v>
      </c>
      <c r="J161" s="8">
        <v>3.2750618</v>
      </c>
      <c r="P161" s="9">
        <v>3.7044319999999999E-2</v>
      </c>
      <c r="Q161" s="8">
        <v>3.3038699999999999</v>
      </c>
    </row>
    <row r="162" spans="1:17" x14ac:dyDescent="0.3">
      <c r="A162">
        <v>4.6922806999999997E-2</v>
      </c>
      <c r="B162">
        <v>4.755738</v>
      </c>
      <c r="C162">
        <f t="shared" si="6"/>
        <v>3.5766605779959075</v>
      </c>
      <c r="D162" s="3"/>
      <c r="E162" s="6">
        <v>9.2086220849680597E-5</v>
      </c>
      <c r="F162" s="8">
        <v>0.25596111646042302</v>
      </c>
      <c r="G162" s="1">
        <f t="shared" si="7"/>
        <v>0.71718021646042307</v>
      </c>
      <c r="I162" s="9">
        <v>3.7044319999999999E-2</v>
      </c>
      <c r="J162" s="8">
        <v>3.3463069999999999</v>
      </c>
      <c r="P162" s="9">
        <v>3.9513939999999997E-2</v>
      </c>
      <c r="Q162" s="8">
        <v>3.3738036</v>
      </c>
    </row>
    <row r="163" spans="1:17" x14ac:dyDescent="0.3">
      <c r="A163">
        <v>4.9392430000000001E-2</v>
      </c>
      <c r="B163">
        <v>4.8204435999999999</v>
      </c>
      <c r="C163">
        <f t="shared" si="6"/>
        <v>3.6413661779959074</v>
      </c>
      <c r="D163" s="3"/>
      <c r="E163" s="6">
        <v>9.4765440815869502E-5</v>
      </c>
      <c r="F163" s="8">
        <v>0.26428555778455198</v>
      </c>
      <c r="G163" s="1">
        <f t="shared" si="7"/>
        <v>0.72550465778455198</v>
      </c>
      <c r="I163" s="9">
        <v>3.9513939999999997E-2</v>
      </c>
      <c r="J163" s="8">
        <v>3.4157769999999998</v>
      </c>
      <c r="P163" s="9">
        <v>4.1983563000000002E-2</v>
      </c>
      <c r="Q163" s="8">
        <v>3.4426646000000001</v>
      </c>
    </row>
    <row r="164" spans="1:17" x14ac:dyDescent="0.3">
      <c r="A164">
        <v>5.186205E-2</v>
      </c>
      <c r="B164">
        <v>4.8841219999999996</v>
      </c>
      <c r="C164">
        <f t="shared" si="6"/>
        <v>3.7050445779959071</v>
      </c>
      <c r="D164" s="3"/>
      <c r="E164" s="6">
        <v>9.75217802235943E-5</v>
      </c>
      <c r="F164" s="8">
        <v>0.272732982467841</v>
      </c>
      <c r="G164" s="1">
        <f t="shared" si="7"/>
        <v>0.73395208246784094</v>
      </c>
      <c r="I164" s="9">
        <v>4.1983563000000002E-2</v>
      </c>
      <c r="J164" s="8">
        <v>3.4836008999999999</v>
      </c>
      <c r="P164" s="9">
        <v>4.4453184999999999E-2</v>
      </c>
      <c r="Q164" s="8">
        <v>3.5104644</v>
      </c>
    </row>
    <row r="165" spans="1:17" x14ac:dyDescent="0.3">
      <c r="A165">
        <v>5.4331669999999999E-2</v>
      </c>
      <c r="B165">
        <v>4.9468769999999997</v>
      </c>
      <c r="C165">
        <f t="shared" si="6"/>
        <v>3.7677995779959073</v>
      </c>
      <c r="D165" s="3"/>
      <c r="E165" s="9">
        <v>1.0035745890114E-4</v>
      </c>
      <c r="F165" s="8">
        <v>0.28130167840578402</v>
      </c>
      <c r="G165" s="1">
        <f t="shared" si="7"/>
        <v>0.74252077840578401</v>
      </c>
      <c r="I165" s="9">
        <v>4.4453184999999999E-2</v>
      </c>
      <c r="J165" s="8">
        <v>3.5500395</v>
      </c>
      <c r="P165" s="9">
        <v>4.6922806999999997E-2</v>
      </c>
      <c r="Q165" s="8">
        <v>3.5771375000000001</v>
      </c>
    </row>
    <row r="166" spans="1:17" x14ac:dyDescent="0.3">
      <c r="A166">
        <v>5.6801293000000003E-2</v>
      </c>
      <c r="B166">
        <v>5.0088505999999997</v>
      </c>
      <c r="C166">
        <f t="shared" si="6"/>
        <v>3.8297731779959072</v>
      </c>
      <c r="D166" s="3"/>
      <c r="E166" s="9">
        <v>1.0327476057297E-4</v>
      </c>
      <c r="F166" s="8">
        <v>0.28998991240698802</v>
      </c>
      <c r="G166" s="1">
        <f t="shared" si="7"/>
        <v>0.75120901240698801</v>
      </c>
      <c r="I166" s="9">
        <v>4.6922806999999997E-2</v>
      </c>
      <c r="J166" s="8">
        <v>3.6155529999999998</v>
      </c>
      <c r="P166" s="9">
        <v>4.9392430000000001E-2</v>
      </c>
      <c r="Q166" s="8">
        <v>3.642684</v>
      </c>
    </row>
    <row r="167" spans="1:17" x14ac:dyDescent="0.3">
      <c r="A167">
        <v>5.9270915E-2</v>
      </c>
      <c r="B167">
        <v>5.070176</v>
      </c>
      <c r="C167">
        <f t="shared" si="6"/>
        <v>3.8910985779959075</v>
      </c>
      <c r="D167" s="3"/>
      <c r="E167" s="9">
        <v>1.06276034698934E-4</v>
      </c>
      <c r="F167" s="8">
        <v>0.29879593125431703</v>
      </c>
      <c r="G167" s="1">
        <f t="shared" si="7"/>
        <v>0.76001503125431702</v>
      </c>
      <c r="I167" s="9">
        <v>4.9392430000000001E-2</v>
      </c>
      <c r="J167" s="8">
        <v>3.6805813000000001</v>
      </c>
      <c r="P167" s="9">
        <v>5.186205E-2</v>
      </c>
      <c r="Q167" s="8">
        <v>3.7071036999999998</v>
      </c>
    </row>
    <row r="168" spans="1:17" x14ac:dyDescent="0.3">
      <c r="A168">
        <v>6.1740535999999999E-2</v>
      </c>
      <c r="B168">
        <v>5.1309769999999997</v>
      </c>
      <c r="C168">
        <f t="shared" si="6"/>
        <v>3.9518995779959072</v>
      </c>
      <c r="D168" s="3"/>
      <c r="E168" s="9">
        <v>1.09363698366411E-4</v>
      </c>
      <c r="F168" s="8">
        <v>0.30771796461742501</v>
      </c>
      <c r="G168" s="1">
        <f t="shared" si="7"/>
        <v>0.76893706461742495</v>
      </c>
      <c r="I168" s="9">
        <v>5.186205E-2</v>
      </c>
      <c r="J168" s="8">
        <v>3.7446587</v>
      </c>
      <c r="P168" s="9">
        <v>5.4331669999999999E-2</v>
      </c>
      <c r="Q168" s="8">
        <v>3.7706140000000001</v>
      </c>
    </row>
    <row r="169" spans="1:17" x14ac:dyDescent="0.3">
      <c r="A169">
        <v>6.4210154000000005E-2</v>
      </c>
      <c r="B169">
        <v>5.1911125</v>
      </c>
      <c r="C169">
        <f t="shared" si="6"/>
        <v>4.0120350779959075</v>
      </c>
      <c r="D169" s="3"/>
      <c r="E169" s="9">
        <v>1.12540238236921E-4</v>
      </c>
      <c r="F169" s="8">
        <v>0.31675422746208298</v>
      </c>
      <c r="G169" s="1">
        <f t="shared" si="7"/>
        <v>0.77797332746208303</v>
      </c>
      <c r="I169" s="9">
        <v>5.4331669999999999E-2</v>
      </c>
      <c r="J169" s="8">
        <v>3.807785</v>
      </c>
      <c r="P169" s="9">
        <v>5.6801293000000003E-2</v>
      </c>
      <c r="Q169" s="8">
        <v>3.8331628000000002</v>
      </c>
    </row>
    <row r="170" spans="1:17" x14ac:dyDescent="0.3">
      <c r="A170">
        <v>6.6679775999999996E-2</v>
      </c>
      <c r="B170">
        <v>5.2506180000000002</v>
      </c>
      <c r="C170">
        <f t="shared" si="6"/>
        <v>4.0715405779959077</v>
      </c>
      <c r="D170" s="3"/>
      <c r="E170" s="9">
        <v>1.15808212548769E-4</v>
      </c>
      <c r="F170" s="8">
        <v>0.32590292199732401</v>
      </c>
      <c r="G170" s="1">
        <f t="shared" si="7"/>
        <v>0.78712202199732406</v>
      </c>
      <c r="I170" s="9">
        <v>5.6801293000000003E-2</v>
      </c>
      <c r="J170" s="8">
        <v>3.8700268000000002</v>
      </c>
      <c r="P170" s="9">
        <v>5.9270915E-2</v>
      </c>
      <c r="Q170" s="8">
        <v>3.8946947999999999</v>
      </c>
    </row>
    <row r="171" spans="1:17" x14ac:dyDescent="0.3">
      <c r="A171">
        <v>6.91494E-2</v>
      </c>
      <c r="B171">
        <v>5.3094939999999999</v>
      </c>
      <c r="C171">
        <f t="shared" si="6"/>
        <v>4.1304165779959074</v>
      </c>
      <c r="D171" s="3"/>
      <c r="E171" s="9">
        <v>1.19170253177331E-4</v>
      </c>
      <c r="F171" s="8">
        <v>0.33516224025441999</v>
      </c>
      <c r="G171" s="1">
        <f t="shared" si="7"/>
        <v>0.79638134025441998</v>
      </c>
      <c r="I171" s="9">
        <v>5.9270915E-2</v>
      </c>
      <c r="J171" s="8">
        <v>3.9315560000000001</v>
      </c>
      <c r="P171" s="9">
        <v>6.1740535999999999E-2</v>
      </c>
      <c r="Q171" s="8">
        <v>3.9552100000000001</v>
      </c>
    </row>
    <row r="172" spans="1:17" x14ac:dyDescent="0.3">
      <c r="A172">
        <v>7.1619020000000005E-2</v>
      </c>
      <c r="B172">
        <v>5.3677406000000003</v>
      </c>
      <c r="C172">
        <f t="shared" si="6"/>
        <v>4.1886631779959078</v>
      </c>
      <c r="D172" s="3"/>
      <c r="E172" s="9">
        <v>1.22629067754641E-4</v>
      </c>
      <c r="F172" s="8">
        <v>0.34453036618583299</v>
      </c>
      <c r="G172" s="1">
        <f t="shared" si="7"/>
        <v>0.80574946618583299</v>
      </c>
      <c r="I172" s="9">
        <v>6.1740535999999999E-2</v>
      </c>
      <c r="J172" s="8">
        <v>3.9922434999999998</v>
      </c>
      <c r="P172" s="9">
        <v>6.4210154000000005E-2</v>
      </c>
      <c r="Q172" s="8">
        <v>4.0152698000000004</v>
      </c>
    </row>
    <row r="173" spans="1:17" x14ac:dyDescent="0.3">
      <c r="A173">
        <v>7.4088639999999997E-2</v>
      </c>
      <c r="B173">
        <v>5.4253572999999999</v>
      </c>
      <c r="C173">
        <f t="shared" si="6"/>
        <v>4.2462798779959074</v>
      </c>
      <c r="D173" s="3"/>
      <c r="E173" s="9">
        <v>1.2618744184999999E-4</v>
      </c>
      <c r="F173" s="8">
        <v>0.35400547777331798</v>
      </c>
      <c r="G173" s="1">
        <f t="shared" si="7"/>
        <v>0.81522457777331803</v>
      </c>
      <c r="I173" s="9">
        <v>6.4210154000000005E-2</v>
      </c>
      <c r="J173" s="8">
        <v>4.0520889999999996</v>
      </c>
      <c r="P173" s="9">
        <v>6.6679775999999996E-2</v>
      </c>
      <c r="Q173" s="8">
        <v>4.0747770000000001</v>
      </c>
    </row>
    <row r="174" spans="1:17" x14ac:dyDescent="0.3">
      <c r="A174">
        <v>7.6558260000000003E-2</v>
      </c>
      <c r="B174">
        <v>5.4823446000000002</v>
      </c>
      <c r="C174">
        <f t="shared" si="6"/>
        <v>4.3032671779959077</v>
      </c>
      <c r="D174" s="3"/>
      <c r="E174" s="9">
        <v>1.2984824121333699E-4</v>
      </c>
      <c r="F174" s="8">
        <v>0.36358574877837901</v>
      </c>
      <c r="G174" s="1">
        <f t="shared" si="7"/>
        <v>0.82480484877837901</v>
      </c>
      <c r="I174" s="9">
        <v>6.6679775999999996E-2</v>
      </c>
      <c r="J174" s="8">
        <v>4.1112022000000001</v>
      </c>
      <c r="P174" s="9">
        <v>6.91494E-2</v>
      </c>
      <c r="Q174" s="8">
        <v>4.1335835000000003</v>
      </c>
    </row>
    <row r="175" spans="1:17" x14ac:dyDescent="0.3">
      <c r="A175">
        <v>7.9027879999999995E-2</v>
      </c>
      <c r="B175">
        <v>5.5387154000000001</v>
      </c>
      <c r="C175">
        <f t="shared" si="6"/>
        <v>4.3596379779959076</v>
      </c>
      <c r="D175" s="3"/>
      <c r="E175" s="9">
        <v>1.33614414083157E-4</v>
      </c>
      <c r="F175" s="8">
        <v>0.37326935084887303</v>
      </c>
      <c r="G175" s="1">
        <f t="shared" si="7"/>
        <v>0.83448845084887302</v>
      </c>
      <c r="I175" s="9">
        <v>6.91494E-2</v>
      </c>
      <c r="J175" s="8">
        <v>4.169886</v>
      </c>
      <c r="P175" s="9">
        <v>7.1619020000000005E-2</v>
      </c>
      <c r="Q175" s="8">
        <v>4.1916880000000001</v>
      </c>
    </row>
    <row r="176" spans="1:17" x14ac:dyDescent="0.3">
      <c r="A176">
        <v>8.1497504999999998E-2</v>
      </c>
      <c r="B176">
        <v>5.5945783000000002</v>
      </c>
      <c r="C176">
        <f t="shared" si="6"/>
        <v>4.4155008779959077</v>
      </c>
      <c r="D176" s="3"/>
      <c r="E176" s="9">
        <v>1.37488993560913E-4</v>
      </c>
      <c r="F176" s="8">
        <v>0.383054455322967</v>
      </c>
      <c r="G176" s="1">
        <f t="shared" si="7"/>
        <v>0.844273555322967</v>
      </c>
      <c r="I176" s="9">
        <v>7.1619020000000005E-2</v>
      </c>
      <c r="J176" s="8">
        <v>4.2279166999999998</v>
      </c>
      <c r="P176" s="9">
        <v>7.4088639999999997E-2</v>
      </c>
      <c r="Q176" s="8">
        <v>4.2490915999999999</v>
      </c>
    </row>
    <row r="177" spans="1:17" x14ac:dyDescent="0.3">
      <c r="A177">
        <v>8.3967130000000001E-2</v>
      </c>
      <c r="B177">
        <v>5.6498439999999999</v>
      </c>
      <c r="C177">
        <f t="shared" si="6"/>
        <v>4.4707665779959074</v>
      </c>
      <c r="D177" s="3"/>
      <c r="E177" s="9">
        <v>1.4147510005372701E-4</v>
      </c>
      <c r="F177" s="8">
        <v>0.39293923492012101</v>
      </c>
      <c r="G177" s="1">
        <f t="shared" si="7"/>
        <v>0.85415833492012094</v>
      </c>
      <c r="I177" s="9">
        <v>7.4088639999999997E-2</v>
      </c>
      <c r="J177" s="8">
        <v>4.2852930000000002</v>
      </c>
      <c r="P177" s="9">
        <v>7.6558260000000003E-2</v>
      </c>
      <c r="Q177" s="8">
        <v>4.3057939999999997</v>
      </c>
    </row>
    <row r="178" spans="1:17" x14ac:dyDescent="0.3">
      <c r="A178">
        <v>8.6436750000000007E-2</v>
      </c>
      <c r="B178">
        <v>5.7045139999999996</v>
      </c>
      <c r="C178">
        <f t="shared" si="6"/>
        <v>4.5254365779959072</v>
      </c>
      <c r="D178" s="3"/>
      <c r="E178" s="9">
        <v>1.4557594378741901E-4</v>
      </c>
      <c r="F178" s="8">
        <v>0.40292186717455403</v>
      </c>
      <c r="G178" s="1">
        <f t="shared" si="7"/>
        <v>0.86414096717455402</v>
      </c>
      <c r="I178" s="9">
        <v>7.6558260000000003E-2</v>
      </c>
      <c r="J178" s="8">
        <v>4.3420160000000001</v>
      </c>
      <c r="P178" s="9">
        <v>7.9027879999999995E-2</v>
      </c>
      <c r="Q178" s="8">
        <v>4.3617939999999997</v>
      </c>
    </row>
    <row r="179" spans="1:17" x14ac:dyDescent="0.3">
      <c r="A179">
        <v>8.8906369999999998E-2</v>
      </c>
      <c r="B179">
        <v>5.7585870000000003</v>
      </c>
      <c r="C179">
        <f t="shared" si="6"/>
        <v>4.5795095779959079</v>
      </c>
      <c r="D179" s="3"/>
      <c r="E179" s="9">
        <v>1.4979482739187999E-4</v>
      </c>
      <c r="F179" s="8">
        <v>0.413000530022123</v>
      </c>
      <c r="G179" s="1">
        <f t="shared" si="7"/>
        <v>0.874219630022123</v>
      </c>
      <c r="I179" s="9">
        <v>7.9027879999999995E-2</v>
      </c>
      <c r="J179" s="8">
        <v>4.3980855999999999</v>
      </c>
      <c r="P179" s="9">
        <v>8.1497504999999998E-2</v>
      </c>
      <c r="Q179" s="8">
        <v>4.4170933000000003</v>
      </c>
    </row>
    <row r="180" spans="1:17" x14ac:dyDescent="0.3">
      <c r="A180">
        <v>9.1375990000000004E-2</v>
      </c>
      <c r="B180">
        <v>5.8120637000000004</v>
      </c>
      <c r="C180">
        <f t="shared" si="6"/>
        <v>4.6329862779959079</v>
      </c>
      <c r="D180" s="3"/>
      <c r="E180" s="9">
        <v>1.54135148560851E-4</v>
      </c>
      <c r="F180" s="8">
        <v>0.42317340906788398</v>
      </c>
      <c r="G180" s="1">
        <f t="shared" si="7"/>
        <v>0.88439250906788391</v>
      </c>
      <c r="I180" s="9">
        <v>8.1497504999999998E-2</v>
      </c>
      <c r="J180" s="8">
        <v>4.4535007000000002</v>
      </c>
      <c r="P180" s="9">
        <v>8.3967130000000001E-2</v>
      </c>
      <c r="Q180" s="8">
        <v>4.4719879999999996</v>
      </c>
    </row>
    <row r="181" spans="1:17" x14ac:dyDescent="0.3">
      <c r="A181">
        <v>9.3845609999999996E-2</v>
      </c>
      <c r="B181">
        <v>5.8649434999999999</v>
      </c>
      <c r="C181">
        <f t="shared" si="6"/>
        <v>4.6858660779959074</v>
      </c>
      <c r="D181" s="3"/>
      <c r="E181" s="9">
        <v>1.5860040278827201E-4</v>
      </c>
      <c r="F181" s="8">
        <v>0.43343869739093499</v>
      </c>
      <c r="G181" s="1">
        <f t="shared" si="7"/>
        <v>0.89465779739093498</v>
      </c>
      <c r="I181" s="9">
        <v>8.3967130000000001E-2</v>
      </c>
      <c r="J181" s="8">
        <v>4.5082626000000001</v>
      </c>
      <c r="P181" s="9">
        <v>8.6436750000000007E-2</v>
      </c>
      <c r="Q181" s="8">
        <v>4.5263739999999997</v>
      </c>
    </row>
    <row r="182" spans="1:17" x14ac:dyDescent="0.3">
      <c r="A182">
        <v>9.6315234999999999E-2</v>
      </c>
      <c r="B182">
        <v>5.9173039999999997</v>
      </c>
      <c r="C182">
        <f t="shared" si="6"/>
        <v>4.7382265779959072</v>
      </c>
      <c r="D182" s="3"/>
      <c r="E182" s="9">
        <v>1.63194186183392E-4</v>
      </c>
      <c r="F182" s="8">
        <v>0.44379459672873001</v>
      </c>
      <c r="G182" s="1">
        <f t="shared" si="7"/>
        <v>0.90501369672873</v>
      </c>
      <c r="I182" s="9">
        <v>8.6436750000000007E-2</v>
      </c>
      <c r="J182" s="8">
        <v>4.5624604</v>
      </c>
      <c r="P182" s="9">
        <v>8.8906369999999998E-2</v>
      </c>
      <c r="Q182" s="8">
        <v>4.5801515999999998</v>
      </c>
    </row>
    <row r="183" spans="1:17" x14ac:dyDescent="0.3">
      <c r="A183">
        <v>9.8784860000000002E-2</v>
      </c>
      <c r="B183">
        <v>5.9695473000000003</v>
      </c>
      <c r="C183">
        <f t="shared" si="6"/>
        <v>4.7904698779959078</v>
      </c>
      <c r="D183" s="3"/>
      <c r="E183" s="9">
        <v>1.6792019836690499E-4</v>
      </c>
      <c r="F183" s="8">
        <v>0.454239318529021</v>
      </c>
      <c r="G183" s="1">
        <f t="shared" si="7"/>
        <v>0.91545841852902099</v>
      </c>
      <c r="I183" s="9">
        <v>8.8906369999999998E-2</v>
      </c>
      <c r="J183" s="8">
        <v>4.6163369999999997</v>
      </c>
      <c r="P183" s="9">
        <v>9.1375990000000004E-2</v>
      </c>
      <c r="Q183" s="8">
        <v>4.6333213000000004</v>
      </c>
    </row>
    <row r="184" spans="1:17" x14ac:dyDescent="0.3">
      <c r="A184">
        <v>0.10125447999999999</v>
      </c>
      <c r="B184">
        <v>6.0213283999999998</v>
      </c>
      <c r="C184">
        <f t="shared" si="6"/>
        <v>4.8422509779959073</v>
      </c>
      <c r="D184" s="3"/>
      <c r="E184" s="9">
        <v>1.7278224545045799E-4</v>
      </c>
      <c r="F184" s="8">
        <v>0.46477108550915702</v>
      </c>
      <c r="G184" s="1">
        <f t="shared" si="7"/>
        <v>0.92599018550915702</v>
      </c>
      <c r="I184" s="9">
        <v>9.1375990000000004E-2</v>
      </c>
      <c r="J184" s="8">
        <v>4.6696486000000004</v>
      </c>
      <c r="P184" s="9">
        <v>9.3845609999999996E-2</v>
      </c>
      <c r="Q184" s="8">
        <v>4.6858829999999996</v>
      </c>
    </row>
    <row r="185" spans="1:17" x14ac:dyDescent="0.3">
      <c r="A185">
        <v>0.1037241</v>
      </c>
      <c r="B185">
        <v>6.0726475999999998</v>
      </c>
      <c r="C185">
        <f t="shared" si="6"/>
        <v>4.8935701779959073</v>
      </c>
      <c r="D185" s="3"/>
      <c r="E185" s="9">
        <v>1.7778424310191401E-4</v>
      </c>
      <c r="F185" s="8">
        <v>0.47538813259065898</v>
      </c>
      <c r="G185" s="1">
        <f t="shared" si="7"/>
        <v>0.93660723259065892</v>
      </c>
      <c r="I185" s="9">
        <v>9.3845609999999996E-2</v>
      </c>
      <c r="J185" s="8">
        <v>4.7223949999999997</v>
      </c>
      <c r="P185" s="9">
        <v>9.6315234999999999E-2</v>
      </c>
      <c r="Q185" s="8">
        <v>4.7378369999999999</v>
      </c>
    </row>
    <row r="186" spans="1:17" x14ac:dyDescent="0.3">
      <c r="A186">
        <v>0.10619372000000001</v>
      </c>
      <c r="B186">
        <v>6.1235039999999996</v>
      </c>
      <c r="C186">
        <f t="shared" si="6"/>
        <v>4.9444265779959071</v>
      </c>
      <c r="D186" s="3"/>
      <c r="E186" s="9">
        <v>1.82930219698852E-4</v>
      </c>
      <c r="F186" s="8">
        <v>0.48608870811276</v>
      </c>
      <c r="G186" s="1">
        <f t="shared" si="7"/>
        <v>0.94730780811275994</v>
      </c>
      <c r="I186" s="9">
        <v>9.6315234999999999E-2</v>
      </c>
      <c r="J186" s="8">
        <v>4.7745766999999999</v>
      </c>
      <c r="P186" s="9">
        <v>9.8784860000000002E-2</v>
      </c>
      <c r="Q186" s="8">
        <v>4.7891826999999996</v>
      </c>
    </row>
    <row r="187" spans="1:17" x14ac:dyDescent="0.3">
      <c r="A187">
        <v>0.10866334</v>
      </c>
      <c r="B187">
        <v>6.1738989999999996</v>
      </c>
      <c r="C187">
        <f t="shared" si="6"/>
        <v>4.9948215779959071</v>
      </c>
      <c r="D187" s="3"/>
      <c r="E187" s="9">
        <v>1.8822431957283301E-4</v>
      </c>
      <c r="F187" s="8">
        <v>0.49687107444696299</v>
      </c>
      <c r="G187" s="1">
        <f t="shared" si="7"/>
        <v>0.95809017444696298</v>
      </c>
      <c r="I187" s="9">
        <v>9.8784860000000002E-2</v>
      </c>
      <c r="J187" s="8">
        <v>4.8261932999999999</v>
      </c>
      <c r="P187" s="9">
        <v>0.10125447999999999</v>
      </c>
      <c r="Q187" s="8">
        <v>4.8402877000000002</v>
      </c>
    </row>
    <row r="188" spans="1:17" x14ac:dyDescent="0.3">
      <c r="A188">
        <v>0.111132964</v>
      </c>
      <c r="B188">
        <v>6.2238319999999998</v>
      </c>
      <c r="C188">
        <f t="shared" si="6"/>
        <v>5.0447545779959073</v>
      </c>
      <c r="D188" s="3"/>
      <c r="E188" s="9">
        <v>1.9367080634705801E-4</v>
      </c>
      <c r="F188" s="8">
        <v>0.50773350966609399</v>
      </c>
      <c r="G188" s="1">
        <f t="shared" si="7"/>
        <v>0.96895260966609398</v>
      </c>
      <c r="I188" s="9">
        <v>0.10125447999999999</v>
      </c>
      <c r="J188" s="8">
        <v>4.8772450000000003</v>
      </c>
      <c r="P188" s="9">
        <v>0.1037241</v>
      </c>
      <c r="Q188" s="8">
        <v>4.8909883000000001</v>
      </c>
    </row>
    <row r="189" spans="1:17" x14ac:dyDescent="0.3">
      <c r="A189">
        <v>0.11360258600000001</v>
      </c>
      <c r="B189">
        <v>6.2733030000000003</v>
      </c>
      <c r="C189">
        <f t="shared" si="6"/>
        <v>5.0942255779959078</v>
      </c>
      <c r="D189" s="3"/>
      <c r="E189" s="9">
        <v>1.9927406637008699E-4</v>
      </c>
      <c r="F189" s="8">
        <v>0.51867430803178804</v>
      </c>
      <c r="G189" s="1">
        <f t="shared" si="7"/>
        <v>0.97989340803178804</v>
      </c>
      <c r="I189" s="9">
        <v>0.1037241</v>
      </c>
      <c r="J189" s="8">
        <v>4.9277315000000002</v>
      </c>
      <c r="P189" s="9">
        <v>0.10619372000000001</v>
      </c>
      <c r="Q189" s="8">
        <v>4.9412010000000004</v>
      </c>
    </row>
    <row r="190" spans="1:17" x14ac:dyDescent="0.3">
      <c r="A190">
        <v>0.11607221</v>
      </c>
      <c r="B190">
        <v>6.3223120000000002</v>
      </c>
      <c r="C190">
        <f t="shared" si="6"/>
        <v>5.1432345779959077</v>
      </c>
      <c r="D190" s="3"/>
      <c r="E190" s="9">
        <v>2.0503861224840499E-4</v>
      </c>
      <c r="F190" s="8">
        <v>0.52969178065114697</v>
      </c>
      <c r="G190" s="1">
        <f t="shared" si="7"/>
        <v>0.99091088065114696</v>
      </c>
      <c r="I190" s="9">
        <v>0.10619372000000001</v>
      </c>
      <c r="J190" s="8">
        <v>4.9777392999999996</v>
      </c>
      <c r="P190" s="9">
        <v>0.10866334</v>
      </c>
      <c r="Q190" s="8">
        <v>4.990926</v>
      </c>
    </row>
    <row r="191" spans="1:17" x14ac:dyDescent="0.3">
      <c r="A191">
        <v>0.11854183</v>
      </c>
      <c r="B191">
        <v>6.3708587000000003</v>
      </c>
      <c r="C191">
        <f t="shared" si="6"/>
        <v>5.1917812779959078</v>
      </c>
      <c r="D191" s="3"/>
      <c r="E191" s="9">
        <v>2.1096908648066901E-4</v>
      </c>
      <c r="F191" s="8">
        <v>0.540784256560356</v>
      </c>
      <c r="G191" s="1">
        <f t="shared" si="7"/>
        <v>1.0020033565603561</v>
      </c>
      <c r="I191" s="9">
        <v>0.10866334</v>
      </c>
      <c r="J191" s="8">
        <v>5.0275426000000003</v>
      </c>
      <c r="P191" s="9">
        <v>0.111132964</v>
      </c>
      <c r="Q191" s="8">
        <v>5.0401626000000004</v>
      </c>
    </row>
    <row r="192" spans="1:17" x14ac:dyDescent="0.3">
      <c r="A192">
        <v>0.12101145000000001</v>
      </c>
      <c r="B192">
        <v>6.4189433999999999</v>
      </c>
      <c r="C192">
        <f t="shared" si="6"/>
        <v>5.2398659779959074</v>
      </c>
      <c r="D192" s="3"/>
      <c r="E192" s="9">
        <v>2.1707026519655301E-4</v>
      </c>
      <c r="F192" s="8">
        <v>0.551950083453144</v>
      </c>
      <c r="G192" s="1">
        <f t="shared" si="7"/>
        <v>1.013169183453144</v>
      </c>
      <c r="I192" s="9">
        <v>0.111132964</v>
      </c>
      <c r="J192" s="8">
        <v>5.0768747000000003</v>
      </c>
      <c r="P192" s="9">
        <v>0.11360258600000001</v>
      </c>
      <c r="Q192" s="8">
        <v>5.0889110000000004</v>
      </c>
    </row>
    <row r="193" spans="1:17" x14ac:dyDescent="0.3">
      <c r="A193">
        <v>0.12348107</v>
      </c>
      <c r="B193">
        <v>6.4665660000000003</v>
      </c>
      <c r="C193">
        <f t="shared" si="6"/>
        <v>5.2874885779959078</v>
      </c>
      <c r="D193" s="3"/>
      <c r="E193" s="9">
        <v>2.2334706200323199E-4</v>
      </c>
      <c r="F193" s="8">
        <v>0.563187628435601</v>
      </c>
      <c r="G193" s="1">
        <f t="shared" si="7"/>
        <v>1.0244067284356011</v>
      </c>
      <c r="I193" s="9">
        <v>0.11360258600000001</v>
      </c>
      <c r="J193" s="8">
        <v>5.1257367</v>
      </c>
      <c r="P193" s="9">
        <v>0.11607221</v>
      </c>
      <c r="Q193" s="8">
        <v>5.1371716999999997</v>
      </c>
    </row>
    <row r="194" spans="1:17" x14ac:dyDescent="0.3">
      <c r="A194">
        <v>0.1259507</v>
      </c>
      <c r="B194">
        <v>6.5137270000000003</v>
      </c>
      <c r="C194">
        <f t="shared" si="6"/>
        <v>5.3346495779959078</v>
      </c>
      <c r="D194" s="3"/>
      <c r="E194" s="9">
        <v>2.2980453194256699E-4</v>
      </c>
      <c r="F194" s="8">
        <v>0.57449527861324601</v>
      </c>
      <c r="G194" s="1">
        <f t="shared" si="7"/>
        <v>1.0357143786132461</v>
      </c>
      <c r="I194" s="9">
        <v>0.11607221</v>
      </c>
      <c r="J194" s="8">
        <v>5.1741276000000003</v>
      </c>
      <c r="P194" s="9">
        <v>0.11854183</v>
      </c>
      <c r="Q194" s="8">
        <v>5.1851479999999999</v>
      </c>
    </row>
    <row r="195" spans="1:17" x14ac:dyDescent="0.3">
      <c r="A195">
        <v>0.12842031000000001</v>
      </c>
      <c r="B195">
        <v>6.5604258</v>
      </c>
      <c r="C195">
        <f t="shared" si="6"/>
        <v>5.3813483779959075</v>
      </c>
      <c r="D195" s="3"/>
      <c r="E195" s="9">
        <v>2.3644787556220399E-4</v>
      </c>
      <c r="F195" s="8">
        <v>0.58587144168781702</v>
      </c>
      <c r="G195" s="1">
        <f t="shared" si="7"/>
        <v>1.0470905416878171</v>
      </c>
      <c r="I195" s="9">
        <v>0.11854183</v>
      </c>
      <c r="J195" s="8">
        <v>5.2220483</v>
      </c>
      <c r="P195" s="9">
        <v>0.12101145000000001</v>
      </c>
      <c r="Q195" s="8">
        <v>5.2327256000000002</v>
      </c>
    </row>
    <row r="196" spans="1:17" x14ac:dyDescent="0.3">
      <c r="A196">
        <v>0.13088994000000001</v>
      </c>
      <c r="B196">
        <v>6.6067580000000001</v>
      </c>
      <c r="C196">
        <f t="shared" ref="C196:C259" si="8">B196-2*PI()*1.68*(0.1187-0.007)</f>
        <v>5.4276805779959076</v>
      </c>
      <c r="D196" s="3"/>
      <c r="E196" s="9">
        <v>2.4328244310385799E-4</v>
      </c>
      <c r="F196" s="8">
        <v>0.597314546502548</v>
      </c>
      <c r="G196" s="1">
        <f t="shared" ref="G196:G259" si="9">$B$3+F196</f>
        <v>1.0585336465025481</v>
      </c>
      <c r="I196" s="9">
        <v>0.12101145000000001</v>
      </c>
      <c r="J196" s="8">
        <v>5.2694979999999996</v>
      </c>
      <c r="P196" s="9">
        <v>0.12348107</v>
      </c>
      <c r="Q196" s="8">
        <v>5.2798759999999998</v>
      </c>
    </row>
    <row r="197" spans="1:17" x14ac:dyDescent="0.3">
      <c r="A197">
        <v>0.13335954999999999</v>
      </c>
      <c r="B197">
        <v>6.6529226000000001</v>
      </c>
      <c r="C197">
        <f t="shared" si="8"/>
        <v>5.4738451779959076</v>
      </c>
      <c r="D197" s="3"/>
      <c r="E197" s="9">
        <v>2.50313738812144E-4</v>
      </c>
      <c r="F197" s="8">
        <v>0.60882304353594696</v>
      </c>
      <c r="G197" s="1">
        <f t="shared" si="9"/>
        <v>1.0700421435359471</v>
      </c>
      <c r="I197" s="9">
        <v>0.12348107</v>
      </c>
      <c r="J197" s="8">
        <v>5.3164772999999999</v>
      </c>
      <c r="P197" s="9">
        <v>0.1259507</v>
      </c>
      <c r="Q197" s="8">
        <v>5.3266</v>
      </c>
    </row>
    <row r="198" spans="1:17" x14ac:dyDescent="0.3">
      <c r="A198">
        <v>0.13582917999999999</v>
      </c>
      <c r="B198">
        <v>6.6986749999999997</v>
      </c>
      <c r="C198">
        <f t="shared" si="8"/>
        <v>5.5195975779959072</v>
      </c>
      <c r="D198" s="3"/>
      <c r="E198" s="9">
        <v>2.5754742536744499E-4</v>
      </c>
      <c r="F198" s="8">
        <v>0.62039540526279702</v>
      </c>
      <c r="G198" s="1">
        <f t="shared" si="9"/>
        <v>1.081614505262797</v>
      </c>
      <c r="I198" s="9">
        <v>0.1259507</v>
      </c>
      <c r="J198" s="8">
        <v>5.3630376000000002</v>
      </c>
      <c r="P198" s="9">
        <v>0.12842031000000001</v>
      </c>
      <c r="Q198" s="8">
        <v>5.3728959999999999</v>
      </c>
    </row>
    <row r="199" spans="1:17" x14ac:dyDescent="0.3">
      <c r="A199">
        <v>0.1382988</v>
      </c>
      <c r="B199">
        <v>6.7440166000000001</v>
      </c>
      <c r="C199">
        <f t="shared" si="8"/>
        <v>5.5649391779959076</v>
      </c>
      <c r="D199" s="3"/>
      <c r="E199" s="9">
        <v>2.64989328446373E-4</v>
      </c>
      <c r="F199" s="8">
        <v>0.63203012664603297</v>
      </c>
      <c r="G199" s="1">
        <f t="shared" si="9"/>
        <v>1.093249226646033</v>
      </c>
      <c r="I199" s="9">
        <v>0.12842031000000001</v>
      </c>
      <c r="J199" s="8">
        <v>5.4093776</v>
      </c>
      <c r="P199" s="9">
        <v>0.13088994000000001</v>
      </c>
      <c r="Q199" s="8">
        <v>5.4187655000000001</v>
      </c>
    </row>
    <row r="200" spans="1:17" x14ac:dyDescent="0.3">
      <c r="A200">
        <v>0.14076842000000001</v>
      </c>
      <c r="B200">
        <v>6.7889460000000001</v>
      </c>
      <c r="C200">
        <f t="shared" si="8"/>
        <v>5.6098685779959077</v>
      </c>
      <c r="D200" s="3"/>
      <c r="E200" s="9">
        <v>2.72645441413498E-4</v>
      </c>
      <c r="F200" s="8">
        <v>0.64372572568153597</v>
      </c>
      <c r="G200" s="1">
        <f t="shared" si="9"/>
        <v>1.104944825681536</v>
      </c>
      <c r="I200" s="9">
        <v>0.13088994000000001</v>
      </c>
      <c r="J200" s="8">
        <v>5.4553120000000002</v>
      </c>
      <c r="P200" s="9">
        <v>0.13335954999999999</v>
      </c>
      <c r="Q200" s="8">
        <v>5.464207</v>
      </c>
    </row>
    <row r="201" spans="1:17" x14ac:dyDescent="0.3">
      <c r="A201">
        <v>0.14323804000000001</v>
      </c>
      <c r="B201">
        <v>6.8334646000000001</v>
      </c>
      <c r="C201">
        <f t="shared" si="8"/>
        <v>5.6543871779959076</v>
      </c>
      <c r="D201" s="3"/>
      <c r="E201" s="9">
        <v>2.80521930148126E-4</v>
      </c>
      <c r="F201" s="8">
        <v>0.65548074366185405</v>
      </c>
      <c r="G201" s="1">
        <f t="shared" si="9"/>
        <v>1.116699843661854</v>
      </c>
      <c r="I201" s="9">
        <v>0.13335954999999999</v>
      </c>
      <c r="J201" s="8">
        <v>5.500839</v>
      </c>
      <c r="P201" s="9">
        <v>0.13582917999999999</v>
      </c>
      <c r="Q201" s="8">
        <v>5.5093839999999998</v>
      </c>
    </row>
    <row r="202" spans="1:17" x14ac:dyDescent="0.3">
      <c r="A202">
        <v>0.14570767000000001</v>
      </c>
      <c r="B202">
        <v>6.8775709999999997</v>
      </c>
      <c r="C202">
        <f t="shared" si="8"/>
        <v>5.6984935779959072</v>
      </c>
      <c r="D202" s="3"/>
      <c r="E202" s="9">
        <v>2.8862513801001702E-4</v>
      </c>
      <c r="F202" s="8">
        <v>0.66729374626632898</v>
      </c>
      <c r="G202" s="1">
        <f t="shared" si="9"/>
        <v>1.128512846266329</v>
      </c>
      <c r="I202" s="9">
        <v>0.13582917999999999</v>
      </c>
      <c r="J202" s="8">
        <v>5.54596</v>
      </c>
      <c r="P202" s="9">
        <v>0.1382988</v>
      </c>
      <c r="Q202" s="8">
        <v>5.5541897000000002</v>
      </c>
    </row>
    <row r="203" spans="1:17" x14ac:dyDescent="0.3">
      <c r="A203">
        <v>0.14817727999999999</v>
      </c>
      <c r="B203">
        <v>6.9212666</v>
      </c>
      <c r="C203">
        <f t="shared" si="8"/>
        <v>5.7421891779959076</v>
      </c>
      <c r="D203" s="3"/>
      <c r="E203" s="9">
        <v>2.9696159094802998E-4</v>
      </c>
      <c r="F203" s="8">
        <v>0.67916332019183701</v>
      </c>
      <c r="G203" s="1">
        <f t="shared" si="9"/>
        <v>1.1403824201918371</v>
      </c>
      <c r="I203" s="9">
        <v>0.1382988</v>
      </c>
      <c r="J203" s="8">
        <v>5.5906750000000001</v>
      </c>
      <c r="P203" s="9">
        <v>0.14076842000000001</v>
      </c>
      <c r="Q203" s="8">
        <v>5.5986130000000003</v>
      </c>
    </row>
    <row r="204" spans="1:17" x14ac:dyDescent="0.3">
      <c r="A204">
        <v>0.15064690999999999</v>
      </c>
      <c r="B204">
        <v>6.96455</v>
      </c>
      <c r="C204">
        <f t="shared" si="8"/>
        <v>5.7854725779959075</v>
      </c>
      <c r="D204" s="3"/>
      <c r="E204" s="9">
        <v>3.0553800275581901E-4</v>
      </c>
      <c r="F204" s="8">
        <v>0.69108807682046902</v>
      </c>
      <c r="G204" s="1">
        <f t="shared" si="9"/>
        <v>1.1523071768204689</v>
      </c>
      <c r="I204" s="9">
        <v>0.14076842000000001</v>
      </c>
      <c r="J204" s="8">
        <v>5.6349830000000001</v>
      </c>
      <c r="P204" s="9">
        <v>0.14323804000000001</v>
      </c>
      <c r="Q204" s="8">
        <v>5.6426530000000001</v>
      </c>
    </row>
    <row r="205" spans="1:17" x14ac:dyDescent="0.3">
      <c r="A205">
        <v>0.15311652000000001</v>
      </c>
      <c r="B205">
        <v>7.0074224000000003</v>
      </c>
      <c r="C205">
        <f t="shared" si="8"/>
        <v>5.8283449779959078</v>
      </c>
      <c r="D205" s="3"/>
      <c r="E205" s="9">
        <v>3.1436128047881799E-4</v>
      </c>
      <c r="F205" s="8">
        <v>0.70306665147206804</v>
      </c>
      <c r="G205" s="1">
        <f t="shared" si="9"/>
        <v>1.1642857514720681</v>
      </c>
      <c r="I205" s="9">
        <v>0.14323804000000001</v>
      </c>
      <c r="J205" s="8">
        <v>5.6788850000000002</v>
      </c>
      <c r="P205" s="9">
        <v>0.14570767000000001</v>
      </c>
      <c r="Q205" s="8">
        <v>5.6863109999999999</v>
      </c>
    </row>
    <row r="206" spans="1:17" x14ac:dyDescent="0.3">
      <c r="A206">
        <v>0.15558615000000001</v>
      </c>
      <c r="B206">
        <v>7.0498830000000003</v>
      </c>
      <c r="C206">
        <f t="shared" si="8"/>
        <v>5.8708055779959079</v>
      </c>
      <c r="D206" s="3"/>
      <c r="E206" s="9">
        <v>3.23438529976848E-4</v>
      </c>
      <c r="F206" s="8">
        <v>0.71509770398829997</v>
      </c>
      <c r="G206" s="1">
        <f t="shared" si="9"/>
        <v>1.1763168039882999</v>
      </c>
      <c r="I206" s="9">
        <v>0.14570767000000001</v>
      </c>
      <c r="J206" s="8">
        <v>5.7223987999999997</v>
      </c>
      <c r="P206" s="9">
        <v>0.14817727999999999</v>
      </c>
      <c r="Q206" s="8">
        <v>5.7295856000000001</v>
      </c>
    </row>
    <row r="207" spans="1:17" x14ac:dyDescent="0.3">
      <c r="A207">
        <v>0.15805577000000001</v>
      </c>
      <c r="B207">
        <v>7.0919784999999997</v>
      </c>
      <c r="C207">
        <f t="shared" si="8"/>
        <v>5.9129010779959073</v>
      </c>
      <c r="D207" s="3"/>
      <c r="E207" s="9">
        <v>3.32777061646856E-4</v>
      </c>
      <c r="F207" s="8">
        <v>0.72717991789105596</v>
      </c>
      <c r="G207" s="1">
        <f t="shared" si="9"/>
        <v>1.188399017891056</v>
      </c>
      <c r="I207" s="9">
        <v>0.14817727999999999</v>
      </c>
      <c r="J207" s="8">
        <v>5.765619</v>
      </c>
      <c r="P207" s="9">
        <v>0.15064690999999999</v>
      </c>
      <c r="Q207" s="8">
        <v>5.7724780000000004</v>
      </c>
    </row>
    <row r="208" spans="1:17" x14ac:dyDescent="0.3">
      <c r="A208">
        <v>0.16052540000000001</v>
      </c>
      <c r="B208">
        <v>7.1340994999999996</v>
      </c>
      <c r="C208">
        <f t="shared" si="8"/>
        <v>5.9550220779959071</v>
      </c>
      <c r="D208" s="3"/>
      <c r="E208" s="9">
        <v>3.4238439631036402E-4</v>
      </c>
      <c r="F208" s="8">
        <v>0.73931200036372002</v>
      </c>
      <c r="G208" s="1">
        <f t="shared" si="9"/>
        <v>1.20053110036372</v>
      </c>
      <c r="I208" s="9">
        <v>0.15064690999999999</v>
      </c>
      <c r="J208" s="8">
        <v>5.8084774000000001</v>
      </c>
      <c r="P208" s="9">
        <v>0.15311652000000001</v>
      </c>
      <c r="Q208" s="8">
        <v>5.8150696999999996</v>
      </c>
    </row>
    <row r="209" spans="1:17" x14ac:dyDescent="0.3">
      <c r="A209">
        <v>0.16299501</v>
      </c>
      <c r="B209">
        <v>7.1758870000000003</v>
      </c>
      <c r="C209">
        <f t="shared" si="8"/>
        <v>5.9968095779959079</v>
      </c>
      <c r="D209" s="3"/>
      <c r="E209" s="9">
        <v>3.5226827127039399E-4</v>
      </c>
      <c r="F209" s="8">
        <v>0.75149268274049097</v>
      </c>
      <c r="G209" s="1">
        <f t="shared" si="9"/>
        <v>1.212711782740491</v>
      </c>
      <c r="I209" s="9">
        <v>0.15311652000000001</v>
      </c>
      <c r="J209" s="8">
        <v>5.8509792999999997</v>
      </c>
      <c r="P209" s="9">
        <v>0.15558615000000001</v>
      </c>
      <c r="Q209" s="8">
        <v>5.8573130000000004</v>
      </c>
    </row>
    <row r="210" spans="1:17" x14ac:dyDescent="0.3">
      <c r="A210">
        <v>0.16546464</v>
      </c>
      <c r="B210">
        <v>7.2173410000000002</v>
      </c>
      <c r="C210">
        <f t="shared" si="8"/>
        <v>6.0382635779959077</v>
      </c>
      <c r="D210" s="3"/>
      <c r="E210" s="9">
        <v>3.6243664654273498E-4</v>
      </c>
      <c r="F210" s="8">
        <v>0.76372072002010005</v>
      </c>
      <c r="G210" s="1">
        <f t="shared" si="9"/>
        <v>1.2249398200201</v>
      </c>
      <c r="I210" s="9">
        <v>0.15558615000000001</v>
      </c>
      <c r="J210" s="8">
        <v>5.8931284000000002</v>
      </c>
      <c r="P210" s="9">
        <v>0.15805577000000001</v>
      </c>
      <c r="Q210" s="8">
        <v>5.8992110000000002</v>
      </c>
    </row>
    <row r="211" spans="1:17" x14ac:dyDescent="0.3">
      <c r="A211">
        <v>0.16793425000000001</v>
      </c>
      <c r="B211">
        <v>7.2584619999999997</v>
      </c>
      <c r="C211">
        <f t="shared" si="8"/>
        <v>6.0793845779959073</v>
      </c>
      <c r="D211" s="3"/>
      <c r="E211" s="9">
        <v>3.7289771126656899E-4</v>
      </c>
      <c r="F211" s="8">
        <v>0.77599489141997902</v>
      </c>
      <c r="G211" s="1">
        <f t="shared" si="9"/>
        <v>1.2372139914199791</v>
      </c>
      <c r="I211" s="9">
        <v>0.15805577000000001</v>
      </c>
      <c r="J211" s="8">
        <v>5.9349309999999997</v>
      </c>
      <c r="P211" s="9">
        <v>0.16052540000000001</v>
      </c>
      <c r="Q211" s="8">
        <v>5.9407681999999999</v>
      </c>
    </row>
    <row r="212" spans="1:17" x14ac:dyDescent="0.3">
      <c r="A212">
        <v>0.17040388000000001</v>
      </c>
      <c r="B212">
        <v>7.2992489999999997</v>
      </c>
      <c r="C212">
        <f t="shared" si="8"/>
        <v>6.1201715779959072</v>
      </c>
      <c r="D212" s="3"/>
      <c r="E212" s="9">
        <v>3.8365989029962499E-4</v>
      </c>
      <c r="F212" s="8">
        <v>0.788313999653524</v>
      </c>
      <c r="G212" s="1">
        <f t="shared" si="9"/>
        <v>1.2495330996535241</v>
      </c>
      <c r="I212" s="9">
        <v>0.16052540000000001</v>
      </c>
      <c r="J212" s="8">
        <v>5.9763903999999997</v>
      </c>
      <c r="P212" s="9">
        <v>0.16299501</v>
      </c>
      <c r="Q212" s="8">
        <v>5.9819889999999996</v>
      </c>
    </row>
    <row r="213" spans="1:17" x14ac:dyDescent="0.3">
      <c r="A213">
        <v>0.17287350000000001</v>
      </c>
      <c r="B213">
        <v>7.3397030000000001</v>
      </c>
      <c r="C213">
        <f t="shared" si="8"/>
        <v>6.1606255779959076</v>
      </c>
      <c r="D213" s="3"/>
      <c r="E213" s="9">
        <v>3.9473185100317201E-4</v>
      </c>
      <c r="F213" s="8">
        <v>0.80067687081494698</v>
      </c>
      <c r="G213" s="1">
        <f t="shared" si="9"/>
        <v>1.2618959708149471</v>
      </c>
      <c r="I213" s="9">
        <v>0.16299501</v>
      </c>
      <c r="J213" s="8">
        <v>6.0175122999999999</v>
      </c>
      <c r="P213" s="9">
        <v>0.16546464</v>
      </c>
      <c r="Q213" s="8">
        <v>6.0228770000000003</v>
      </c>
    </row>
    <row r="214" spans="1:17" x14ac:dyDescent="0.3">
      <c r="A214">
        <v>0.17534313000000001</v>
      </c>
      <c r="B214">
        <v>7.3798237000000002</v>
      </c>
      <c r="C214">
        <f t="shared" si="8"/>
        <v>6.2007462779959077</v>
      </c>
      <c r="D214" s="3"/>
      <c r="E214" s="9">
        <v>4.0612251022230898E-4</v>
      </c>
      <c r="F214" s="8">
        <v>0.81308235439644305</v>
      </c>
      <c r="G214" s="1">
        <f t="shared" si="9"/>
        <v>1.274301454396443</v>
      </c>
      <c r="I214" s="9">
        <v>0.16546464</v>
      </c>
      <c r="J214" s="8">
        <v>6.0583014000000004</v>
      </c>
      <c r="P214" s="9">
        <v>0.16793425000000001</v>
      </c>
      <c r="Q214" s="8">
        <v>6.0634375</v>
      </c>
    </row>
    <row r="215" spans="1:17" x14ac:dyDescent="0.3">
      <c r="A215">
        <v>0.17781274</v>
      </c>
      <c r="B215">
        <v>7.4196109999999997</v>
      </c>
      <c r="C215">
        <f t="shared" si="8"/>
        <v>6.2405335779959072</v>
      </c>
      <c r="D215" s="3"/>
      <c r="E215" s="9">
        <v>4.17841041467183E-4</v>
      </c>
      <c r="F215" s="8">
        <v>0.82552932278701896</v>
      </c>
      <c r="G215" s="1">
        <f t="shared" si="9"/>
        <v>1.286748422787019</v>
      </c>
      <c r="I215" s="9">
        <v>0.16793425000000001</v>
      </c>
      <c r="J215" s="8">
        <v>6.0987629999999999</v>
      </c>
      <c r="P215" s="9">
        <v>0.17040388000000001</v>
      </c>
      <c r="Q215" s="8">
        <v>6.1036735000000002</v>
      </c>
    </row>
    <row r="216" spans="1:17" x14ac:dyDescent="0.3">
      <c r="A216">
        <v>0.18028237</v>
      </c>
      <c r="B216">
        <v>7.4590645000000002</v>
      </c>
      <c r="C216">
        <f t="shared" si="8"/>
        <v>6.2799870779959077</v>
      </c>
      <c r="D216" s="3"/>
      <c r="E216" s="9">
        <v>4.2989688230090397E-4</v>
      </c>
      <c r="F216" s="8">
        <v>0.83801667132728097</v>
      </c>
      <c r="G216" s="1">
        <f t="shared" si="9"/>
        <v>1.2992357713272811</v>
      </c>
      <c r="I216" s="9">
        <v>0.17040388000000001</v>
      </c>
      <c r="J216" s="8">
        <v>6.1389009999999997</v>
      </c>
      <c r="P216" s="9">
        <v>0.17287350000000001</v>
      </c>
      <c r="Q216" s="8">
        <v>6.1435899999999997</v>
      </c>
    </row>
    <row r="217" spans="1:17" x14ac:dyDescent="0.3">
      <c r="A217">
        <v>0.18275198000000001</v>
      </c>
      <c r="B217">
        <v>7.4981847000000004</v>
      </c>
      <c r="C217">
        <f t="shared" si="8"/>
        <v>6.3191072779959079</v>
      </c>
      <c r="D217" s="3"/>
      <c r="E217" s="9">
        <v>4.4229974194012701E-4</v>
      </c>
      <c r="F217" s="8">
        <v>0.85054331798260896</v>
      </c>
      <c r="G217" s="1">
        <f t="shared" si="9"/>
        <v>1.3117624179826088</v>
      </c>
      <c r="I217" s="9">
        <v>0.17287350000000001</v>
      </c>
      <c r="J217" s="8">
        <v>6.1787213999999997</v>
      </c>
      <c r="P217" s="9">
        <v>0.17534313000000001</v>
      </c>
      <c r="Q217" s="8">
        <v>6.1831909999999999</v>
      </c>
    </row>
    <row r="218" spans="1:17" x14ac:dyDescent="0.3">
      <c r="A218">
        <v>0.18522161000000001</v>
      </c>
      <c r="B218">
        <v>7.5369719999999996</v>
      </c>
      <c r="C218">
        <f t="shared" si="8"/>
        <v>6.3578945779959071</v>
      </c>
      <c r="D218" s="3"/>
      <c r="E218" s="9">
        <v>4.5505960907440398E-4</v>
      </c>
      <c r="F218" s="8">
        <v>0.86310820307849001</v>
      </c>
      <c r="G218" s="1">
        <f t="shared" si="9"/>
        <v>1.3243273030784901</v>
      </c>
      <c r="I218" s="9">
        <v>0.17534313000000001</v>
      </c>
      <c r="J218" s="8">
        <v>6.2182279999999999</v>
      </c>
      <c r="P218" s="9">
        <v>0.17781274</v>
      </c>
      <c r="Q218" s="8">
        <v>6.2224803</v>
      </c>
    </row>
    <row r="219" spans="1:17" x14ac:dyDescent="0.3">
      <c r="A219">
        <v>0.18769122999999999</v>
      </c>
      <c r="B219">
        <v>7.575666</v>
      </c>
      <c r="C219">
        <f t="shared" si="8"/>
        <v>6.3965885779959075</v>
      </c>
      <c r="D219" s="3"/>
      <c r="E219" s="9">
        <v>4.6818675991061099E-4</v>
      </c>
      <c r="F219" s="8">
        <v>0.87571028902384596</v>
      </c>
      <c r="G219" s="1">
        <f t="shared" si="9"/>
        <v>1.3369293890238461</v>
      </c>
      <c r="I219" s="9">
        <v>0.17781274</v>
      </c>
      <c r="J219" s="8">
        <v>6.2574262999999997</v>
      </c>
      <c r="P219" s="9">
        <v>0.18028237</v>
      </c>
      <c r="Q219" s="8">
        <v>6.2614627</v>
      </c>
    </row>
    <row r="220" spans="1:17" x14ac:dyDescent="0.3">
      <c r="A220">
        <v>0.19016085999999999</v>
      </c>
      <c r="B220">
        <v>7.6140829999999999</v>
      </c>
      <c r="C220">
        <f t="shared" si="8"/>
        <v>6.4350055779959074</v>
      </c>
      <c r="D220" s="3"/>
      <c r="E220" s="9">
        <v>4.8169176644893299E-4</v>
      </c>
      <c r="F220" s="8">
        <v>0.88834856002026796</v>
      </c>
      <c r="G220" s="1">
        <f t="shared" si="9"/>
        <v>1.349567660020268</v>
      </c>
      <c r="I220" s="9">
        <v>0.18028237</v>
      </c>
      <c r="J220" s="8">
        <v>6.2963203999999999</v>
      </c>
      <c r="P220" s="9">
        <v>0.18275198000000001</v>
      </c>
      <c r="Q220" s="8">
        <v>6.3001420000000001</v>
      </c>
    </row>
    <row r="221" spans="1:17" x14ac:dyDescent="0.3">
      <c r="A221">
        <v>0.19263047</v>
      </c>
      <c r="B221">
        <v>7.6522079999999999</v>
      </c>
      <c r="C221">
        <f t="shared" si="8"/>
        <v>6.4731305779959074</v>
      </c>
      <c r="D221" s="3"/>
      <c r="E221" s="9">
        <v>4.9558550499706499E-4</v>
      </c>
      <c r="F221" s="8">
        <v>0.90102202163415401</v>
      </c>
      <c r="G221" s="1">
        <f t="shared" si="9"/>
        <v>1.3622411216341539</v>
      </c>
      <c r="I221" s="9">
        <v>0.18275198000000001</v>
      </c>
      <c r="J221" s="8">
        <v>6.3349159999999998</v>
      </c>
      <c r="P221" s="9">
        <v>0.18522161000000001</v>
      </c>
      <c r="Q221" s="8">
        <v>6.3385249999999997</v>
      </c>
    </row>
    <row r="222" spans="1:17" x14ac:dyDescent="0.3">
      <c r="A222">
        <v>0.1951001</v>
      </c>
      <c r="B222">
        <v>7.690042</v>
      </c>
      <c r="C222">
        <f t="shared" si="8"/>
        <v>6.5109645779959076</v>
      </c>
      <c r="D222" s="3"/>
      <c r="E222" s="9">
        <v>5.0987916492947901E-4</v>
      </c>
      <c r="F222" s="8">
        <v>0.91372970074491999</v>
      </c>
      <c r="G222" s="1">
        <f t="shared" si="9"/>
        <v>1.37494880074492</v>
      </c>
      <c r="I222" s="9">
        <v>0.18522161000000001</v>
      </c>
      <c r="J222" s="8">
        <v>6.3732170000000004</v>
      </c>
      <c r="P222" s="9">
        <v>0.18769122999999999</v>
      </c>
      <c r="Q222" s="8">
        <v>6.376627</v>
      </c>
    </row>
    <row r="223" spans="1:17" x14ac:dyDescent="0.3">
      <c r="A223">
        <v>0.19756971000000001</v>
      </c>
      <c r="B223">
        <v>7.7275850000000004</v>
      </c>
      <c r="C223">
        <f t="shared" si="8"/>
        <v>6.5485075779959079</v>
      </c>
      <c r="D223" s="3"/>
      <c r="E223" s="9">
        <v>5.2458425769884103E-4</v>
      </c>
      <c r="F223" s="8">
        <v>0.92647064519116895</v>
      </c>
      <c r="G223" s="1">
        <f t="shared" si="9"/>
        <v>1.3876897451911689</v>
      </c>
      <c r="I223" s="9">
        <v>0.18769122999999999</v>
      </c>
      <c r="J223" s="8">
        <v>6.4112233999999999</v>
      </c>
      <c r="P223" s="9">
        <v>0.19016085999999999</v>
      </c>
      <c r="Q223" s="8">
        <v>6.4144430000000003</v>
      </c>
    </row>
    <row r="224" spans="1:17" x14ac:dyDescent="0.3">
      <c r="A224">
        <v>0.20003934000000001</v>
      </c>
      <c r="B224">
        <v>7.7648362999999998</v>
      </c>
      <c r="C224">
        <f t="shared" si="8"/>
        <v>6.5857588779959073</v>
      </c>
      <c r="D224" s="3"/>
      <c r="E224" s="9">
        <v>5.39712626106791E-4</v>
      </c>
      <c r="F224" s="8">
        <v>0.93924392309425297</v>
      </c>
      <c r="G224" s="1">
        <f t="shared" si="9"/>
        <v>1.400463023094253</v>
      </c>
      <c r="I224" s="9">
        <v>0.19016085999999999</v>
      </c>
      <c r="J224" s="8">
        <v>6.4489445999999999</v>
      </c>
      <c r="P224" s="9">
        <v>0.19263047</v>
      </c>
      <c r="Q224" s="8">
        <v>6.4519770000000003</v>
      </c>
    </row>
    <row r="225" spans="1:17" x14ac:dyDescent="0.3">
      <c r="A225">
        <v>0.20250895999999999</v>
      </c>
      <c r="B225">
        <v>7.8017969999999996</v>
      </c>
      <c r="C225">
        <f t="shared" si="8"/>
        <v>6.6227195779959072</v>
      </c>
      <c r="D225" s="3"/>
      <c r="E225" s="9">
        <v>5.55276453841595E-4</v>
      </c>
      <c r="F225" s="8">
        <v>0.952048623023801</v>
      </c>
      <c r="G225" s="1">
        <f t="shared" si="9"/>
        <v>1.4132677230238011</v>
      </c>
      <c r="I225" s="9">
        <v>0.19263047</v>
      </c>
      <c r="J225" s="8">
        <v>6.4863844000000004</v>
      </c>
      <c r="P225" s="9">
        <v>0.1951001</v>
      </c>
      <c r="Q225" s="8">
        <v>6.4892329999999996</v>
      </c>
    </row>
    <row r="226" spans="1:17" x14ac:dyDescent="0.3">
      <c r="A226">
        <v>0.20497858999999999</v>
      </c>
      <c r="B226">
        <v>7.8384660000000004</v>
      </c>
      <c r="C226">
        <f t="shared" si="8"/>
        <v>6.6593885779959079</v>
      </c>
      <c r="D226" s="3"/>
      <c r="E226" s="9">
        <v>5.7128827529032296E-4</v>
      </c>
      <c r="F226" s="8">
        <v>0.96488385331538096</v>
      </c>
      <c r="G226" s="1">
        <f t="shared" si="9"/>
        <v>1.4261029533153811</v>
      </c>
      <c r="I226" s="9">
        <v>0.1951001</v>
      </c>
      <c r="J226" s="8">
        <v>6.5235485999999998</v>
      </c>
      <c r="P226" s="9">
        <v>0.19756971000000001</v>
      </c>
      <c r="Q226" s="8">
        <v>6.5262159999999998</v>
      </c>
    </row>
    <row r="227" spans="1:17" x14ac:dyDescent="0.3">
      <c r="A227">
        <v>0.2074482</v>
      </c>
      <c r="B227">
        <v>7.8748440000000004</v>
      </c>
      <c r="C227">
        <f t="shared" si="8"/>
        <v>6.6957665779959079</v>
      </c>
      <c r="D227" s="3"/>
      <c r="E227" s="9">
        <v>5.87760985633462E-4</v>
      </c>
      <c r="F227" s="8">
        <v>0.97774874180744298</v>
      </c>
      <c r="G227" s="1">
        <f t="shared" si="9"/>
        <v>1.438967841807443</v>
      </c>
      <c r="I227" s="9">
        <v>0.19756971000000001</v>
      </c>
      <c r="J227" s="8">
        <v>6.560441</v>
      </c>
      <c r="P227" s="9">
        <v>0.20003934000000001</v>
      </c>
      <c r="Q227" s="8">
        <v>6.5629305999999996</v>
      </c>
    </row>
    <row r="228" spans="1:17" x14ac:dyDescent="0.3">
      <c r="A228">
        <v>0.20991783</v>
      </c>
      <c r="B228">
        <v>7.9109309999999997</v>
      </c>
      <c r="C228">
        <f t="shared" si="8"/>
        <v>6.7318535779959072</v>
      </c>
      <c r="D228" s="3"/>
      <c r="E228" s="9">
        <v>6.04707851230099E-4</v>
      </c>
      <c r="F228" s="8">
        <v>0.99064243546458397</v>
      </c>
      <c r="G228" s="1">
        <f t="shared" si="9"/>
        <v>1.4518615354645839</v>
      </c>
      <c r="I228" s="9">
        <v>0.20003934000000001</v>
      </c>
      <c r="J228" s="8">
        <v>6.5970674000000002</v>
      </c>
      <c r="P228" s="9">
        <v>0.20250895999999999</v>
      </c>
      <c r="Q228" s="8">
        <v>6.5993810000000002</v>
      </c>
    </row>
    <row r="229" spans="1:17" x14ac:dyDescent="0.3">
      <c r="A229">
        <v>0.21238744000000001</v>
      </c>
      <c r="B229">
        <v>7.9467270000000001</v>
      </c>
      <c r="C229">
        <f t="shared" si="8"/>
        <v>6.7676495779959076</v>
      </c>
      <c r="D229" s="3"/>
      <c r="E229" s="9">
        <v>6.2214252030203497E-4</v>
      </c>
      <c r="F229" s="8">
        <v>1.00356410011604</v>
      </c>
      <c r="G229" s="1">
        <f t="shared" si="9"/>
        <v>1.4647832001160399</v>
      </c>
      <c r="I229" s="9">
        <v>0.20250895999999999</v>
      </c>
      <c r="J229" s="8">
        <v>6.633432</v>
      </c>
      <c r="P229" s="9">
        <v>0.20497858999999999</v>
      </c>
      <c r="Q229" s="8">
        <v>6.6355719999999998</v>
      </c>
    </row>
    <row r="230" spans="1:17" x14ac:dyDescent="0.3">
      <c r="A230">
        <v>0.21485707000000001</v>
      </c>
      <c r="B230">
        <v>7.9824032999999996</v>
      </c>
      <c r="C230">
        <f t="shared" si="8"/>
        <v>6.8033258779959072</v>
      </c>
      <c r="D230" s="3"/>
      <c r="E230" s="9">
        <v>6.4007903392542995E-4</v>
      </c>
      <c r="F230" s="8">
        <v>1.01651291992008</v>
      </c>
      <c r="G230" s="1">
        <f t="shared" si="9"/>
        <v>1.4777320199200799</v>
      </c>
      <c r="I230" s="9">
        <v>0.20497858999999999</v>
      </c>
      <c r="J230" s="8">
        <v>6.6695399999999996</v>
      </c>
      <c r="P230" s="9">
        <v>0.2074482</v>
      </c>
      <c r="Q230" s="8">
        <v>6.6715080000000002</v>
      </c>
    </row>
    <row r="231" spans="1:17" x14ac:dyDescent="0.3">
      <c r="A231">
        <v>0.21732668999999999</v>
      </c>
      <c r="B231">
        <v>8.0178700000000003</v>
      </c>
      <c r="C231">
        <f t="shared" si="8"/>
        <v>6.8387925779959078</v>
      </c>
      <c r="D231" s="3"/>
      <c r="E231" s="9">
        <v>6.5853183733883798E-4</v>
      </c>
      <c r="F231" s="8">
        <v>1.02948809714583</v>
      </c>
      <c r="G231" s="1">
        <f t="shared" si="9"/>
        <v>1.4907071971458299</v>
      </c>
      <c r="I231" s="9">
        <v>0.2074482</v>
      </c>
      <c r="J231" s="8">
        <v>6.7053950000000002</v>
      </c>
      <c r="P231" s="9">
        <v>0.20991783</v>
      </c>
      <c r="Q231" s="8">
        <v>6.7071934000000004</v>
      </c>
    </row>
    <row r="232" spans="1:17" x14ac:dyDescent="0.3">
      <c r="A232">
        <v>0.21979630999999999</v>
      </c>
      <c r="B232">
        <v>8.0530819999999999</v>
      </c>
      <c r="C232">
        <f t="shared" si="8"/>
        <v>6.8740045779959074</v>
      </c>
      <c r="D232" s="3"/>
      <c r="E232" s="9">
        <v>6.7751579157672903E-4</v>
      </c>
      <c r="F232" s="8">
        <v>1.0424888519691999</v>
      </c>
      <c r="G232" s="1">
        <f t="shared" si="9"/>
        <v>1.5037079519691998</v>
      </c>
      <c r="I232" s="9">
        <v>0.20991783</v>
      </c>
      <c r="J232" s="8">
        <v>6.7410034999999997</v>
      </c>
      <c r="P232" s="9">
        <v>0.21238744000000001</v>
      </c>
      <c r="Q232" s="8">
        <v>6.7426329999999997</v>
      </c>
    </row>
    <row r="233" spans="1:17" x14ac:dyDescent="0.3">
      <c r="A233">
        <v>0.22226593</v>
      </c>
      <c r="B233">
        <v>8.0880399999999995</v>
      </c>
      <c r="C233">
        <f t="shared" si="8"/>
        <v>6.908962577995907</v>
      </c>
      <c r="D233" s="3"/>
      <c r="E233" s="9">
        <v>6.9704618543788596E-4</v>
      </c>
      <c r="F233" s="8">
        <v>1.05551442197269</v>
      </c>
      <c r="G233" s="1">
        <f t="shared" si="9"/>
        <v>1.5167335219726898</v>
      </c>
      <c r="I233" s="9">
        <v>0.21238744000000001</v>
      </c>
      <c r="J233" s="8">
        <v>6.7763685999999996</v>
      </c>
      <c r="P233" s="9">
        <v>0.21485707000000001</v>
      </c>
      <c r="Q233" s="8">
        <v>6.7778305999999997</v>
      </c>
    </row>
    <row r="234" spans="1:17" x14ac:dyDescent="0.3">
      <c r="A234">
        <v>0.22473556</v>
      </c>
      <c r="B234">
        <v>8.1227450000000001</v>
      </c>
      <c r="C234">
        <f t="shared" si="8"/>
        <v>6.9436675779959076</v>
      </c>
      <c r="D234" s="3"/>
      <c r="E234" s="9">
        <v>7.1713874779829202E-4</v>
      </c>
      <c r="F234" s="8">
        <v>1.0685640617577501</v>
      </c>
      <c r="G234" s="1">
        <f t="shared" si="9"/>
        <v>1.52978316175775</v>
      </c>
      <c r="I234" s="9">
        <v>0.21485707000000001</v>
      </c>
      <c r="J234" s="8">
        <v>6.8114962999999999</v>
      </c>
      <c r="P234" s="9">
        <v>0.21732668999999999</v>
      </c>
      <c r="Q234" s="8">
        <v>6.8127909999999998</v>
      </c>
    </row>
    <row r="235" spans="1:17" x14ac:dyDescent="0.3">
      <c r="A235">
        <v>0.22720517000000001</v>
      </c>
      <c r="B235">
        <v>8.1571940000000005</v>
      </c>
      <c r="C235">
        <f t="shared" si="8"/>
        <v>6.978116577995908</v>
      </c>
      <c r="D235" s="3"/>
      <c r="E235" s="9">
        <v>7.3780966027843997E-4</v>
      </c>
      <c r="F235" s="8">
        <v>1.08163704264217</v>
      </c>
      <c r="G235" s="1">
        <f t="shared" si="9"/>
        <v>1.5428561426421701</v>
      </c>
      <c r="I235" s="9">
        <v>0.21732668999999999</v>
      </c>
      <c r="J235" s="8">
        <v>6.8463902000000001</v>
      </c>
      <c r="P235" s="9">
        <v>0.21979630999999999</v>
      </c>
      <c r="Q235" s="8">
        <v>6.8474969999999997</v>
      </c>
    </row>
    <row r="236" spans="1:17" x14ac:dyDescent="0.3">
      <c r="A236">
        <v>0.22967478999999999</v>
      </c>
      <c r="B236">
        <v>8.1913900000000002</v>
      </c>
      <c r="C236">
        <f t="shared" si="8"/>
        <v>7.0123125779959077</v>
      </c>
      <c r="D236" s="3"/>
      <c r="E236" s="9">
        <v>7.59075570275263E-4</v>
      </c>
      <c r="F236" s="8">
        <v>1.0947326523168499</v>
      </c>
      <c r="G236" s="1">
        <f t="shared" si="9"/>
        <v>1.55595175231685</v>
      </c>
      <c r="I236" s="9">
        <v>0.21979630999999999</v>
      </c>
      <c r="J236" s="8">
        <v>6.8810563</v>
      </c>
      <c r="P236" s="9">
        <v>0.22226593</v>
      </c>
      <c r="Q236" s="8">
        <v>6.8818970000000004</v>
      </c>
    </row>
    <row r="237" spans="1:17" x14ac:dyDescent="0.3">
      <c r="A237">
        <v>0.23214441999999999</v>
      </c>
      <c r="B237">
        <v>8.2253310000000006</v>
      </c>
      <c r="C237">
        <f t="shared" si="8"/>
        <v>7.0462535779959081</v>
      </c>
      <c r="D237" s="3"/>
      <c r="E237" s="9">
        <v>7.8095360436917702E-4</v>
      </c>
      <c r="F237" s="8">
        <v>1.10785019450508</v>
      </c>
      <c r="G237" s="1">
        <f t="shared" si="9"/>
        <v>1.5690692945050801</v>
      </c>
      <c r="I237" s="9">
        <v>0.22226593</v>
      </c>
      <c r="J237" s="8">
        <v>6.9154986999999997</v>
      </c>
      <c r="P237" s="9">
        <v>0.22473556</v>
      </c>
      <c r="Q237" s="8">
        <v>6.9160532999999997</v>
      </c>
    </row>
    <row r="238" spans="1:17" x14ac:dyDescent="0.3">
      <c r="A238">
        <v>0.23461403</v>
      </c>
      <c r="B238">
        <v>8.2590179999999993</v>
      </c>
      <c r="C238">
        <f t="shared" si="8"/>
        <v>7.0799405779959068</v>
      </c>
      <c r="D238" s="3"/>
      <c r="E238" s="9">
        <v>8.0346138211703398E-4</v>
      </c>
      <c r="F238" s="8">
        <v>1.1209889886254401</v>
      </c>
      <c r="G238" s="1">
        <f t="shared" si="9"/>
        <v>1.5822080886254399</v>
      </c>
      <c r="I238" s="9">
        <v>0.22473556</v>
      </c>
      <c r="J238" s="8">
        <v>6.9497112999999997</v>
      </c>
      <c r="P238" s="9">
        <v>0.22720517000000001</v>
      </c>
      <c r="Q238" s="8">
        <v>6.9499690000000003</v>
      </c>
    </row>
    <row r="239" spans="1:17" x14ac:dyDescent="0.3">
      <c r="A239">
        <v>0.23708366</v>
      </c>
      <c r="B239">
        <v>8.2924509999999998</v>
      </c>
      <c r="C239">
        <f t="shared" si="8"/>
        <v>7.1133735779959073</v>
      </c>
      <c r="D239" s="3"/>
      <c r="E239" s="9">
        <v>8.2661703024210405E-4</v>
      </c>
      <c r="F239" s="8">
        <v>1.1341483694586101</v>
      </c>
      <c r="G239" s="1">
        <f t="shared" si="9"/>
        <v>1.5953674694586102</v>
      </c>
      <c r="I239" s="9">
        <v>0.22720517000000001</v>
      </c>
      <c r="J239" s="8">
        <v>6.9835525000000001</v>
      </c>
      <c r="P239" s="9">
        <v>0.22967478999999999</v>
      </c>
      <c r="Q239" s="8">
        <v>6.9836473000000003</v>
      </c>
    </row>
    <row r="240" spans="1:17" x14ac:dyDescent="0.3">
      <c r="A240">
        <v>0.23955327000000001</v>
      </c>
      <c r="B240">
        <v>8.3256289999999993</v>
      </c>
      <c r="C240">
        <f t="shared" si="8"/>
        <v>7.1465515779959068</v>
      </c>
      <c r="D240" s="3"/>
      <c r="E240" s="9">
        <v>8.5043919723249599E-4</v>
      </c>
      <c r="F240" s="8">
        <v>1.1473276868196201</v>
      </c>
      <c r="G240" s="1">
        <f t="shared" si="9"/>
        <v>1.6085467868196202</v>
      </c>
      <c r="I240" s="9">
        <v>0.22967478999999999</v>
      </c>
      <c r="J240" s="8">
        <v>7.0171539999999997</v>
      </c>
      <c r="P240" s="9">
        <v>0.23214441999999999</v>
      </c>
      <c r="Q240" s="8">
        <v>7.0170912999999997</v>
      </c>
    </row>
    <row r="241" spans="1:17" x14ac:dyDescent="0.3">
      <c r="A241">
        <v>0.24202290000000001</v>
      </c>
      <c r="B241">
        <v>8.3586139999999993</v>
      </c>
      <c r="C241">
        <f t="shared" si="8"/>
        <v>7.1795365779959068</v>
      </c>
      <c r="D241" s="3"/>
      <c r="E241" s="9">
        <v>8.7494706835978501E-4</v>
      </c>
      <c r="F241" s="8">
        <v>1.1605263052363799</v>
      </c>
      <c r="G241" s="1">
        <f t="shared" si="9"/>
        <v>1.6217454052363798</v>
      </c>
      <c r="I241" s="9">
        <v>0.23214441999999999</v>
      </c>
      <c r="J241" s="8">
        <v>7.0505195000000001</v>
      </c>
      <c r="P241" s="9">
        <v>0.23461403</v>
      </c>
      <c r="Q241" s="8">
        <v>7.0503039999999997</v>
      </c>
    </row>
    <row r="242" spans="1:17" x14ac:dyDescent="0.3">
      <c r="A242">
        <v>0.24449251999999999</v>
      </c>
      <c r="B242">
        <v>8.3914010000000001</v>
      </c>
      <c r="C242">
        <f t="shared" si="8"/>
        <v>7.2123235779959076</v>
      </c>
      <c r="D242" s="3"/>
      <c r="E242" s="9">
        <v>9.00160381129949E-4</v>
      </c>
      <c r="F242" s="8">
        <v>1.17374360363549</v>
      </c>
      <c r="G242" s="1">
        <f t="shared" si="9"/>
        <v>1.6349627036354901</v>
      </c>
      <c r="I242" s="9">
        <v>0.23461403</v>
      </c>
      <c r="J242" s="8">
        <v>7.0836509999999997</v>
      </c>
      <c r="P242" s="9">
        <v>0.23708366</v>
      </c>
      <c r="Q242" s="8">
        <v>7.0832889999999997</v>
      </c>
    </row>
    <row r="243" spans="1:17" x14ac:dyDescent="0.3">
      <c r="A243">
        <v>0.24696214</v>
      </c>
      <c r="B243">
        <v>8.4239619999999995</v>
      </c>
      <c r="C243">
        <f t="shared" si="8"/>
        <v>7.244884577995907</v>
      </c>
      <c r="D243" s="3"/>
      <c r="E243" s="9">
        <v>9.2609944117904002E-4</v>
      </c>
      <c r="F243" s="8">
        <v>1.1869789750372</v>
      </c>
      <c r="G243" s="1">
        <f t="shared" si="9"/>
        <v>1.6481980750371998</v>
      </c>
      <c r="I243" s="9">
        <v>0.23708366</v>
      </c>
      <c r="J243" s="8">
        <v>7.1165523999999998</v>
      </c>
      <c r="P243" s="9">
        <v>0.23955327000000001</v>
      </c>
      <c r="Q243" s="8">
        <v>7.1160493000000002</v>
      </c>
    </row>
    <row r="244" spans="1:17" x14ac:dyDescent="0.3">
      <c r="A244">
        <v>0.24943176</v>
      </c>
      <c r="B244">
        <v>8.4562980000000003</v>
      </c>
      <c r="C244">
        <f t="shared" si="8"/>
        <v>7.2772205779959078</v>
      </c>
      <c r="D244" s="3"/>
      <c r="E244" s="9">
        <v>9.5278513862640402E-4</v>
      </c>
      <c r="F244" s="8">
        <v>1.2002318261912499</v>
      </c>
      <c r="G244" s="1">
        <f t="shared" si="9"/>
        <v>1.6614509261912498</v>
      </c>
      <c r="I244" s="9">
        <v>0.23955327000000001</v>
      </c>
      <c r="J244" s="8">
        <v>7.1492259999999996</v>
      </c>
      <c r="P244" s="9">
        <v>0.24202290000000001</v>
      </c>
      <c r="Q244" s="8">
        <v>7.1485880000000002</v>
      </c>
    </row>
    <row r="245" spans="1:17" x14ac:dyDescent="0.3">
      <c r="A245">
        <v>0.2519014</v>
      </c>
      <c r="B245">
        <v>8.4884120000000003</v>
      </c>
      <c r="C245">
        <f t="shared" si="8"/>
        <v>7.3093345779959078</v>
      </c>
      <c r="D245" s="3"/>
      <c r="E245" s="9">
        <v>9.8023896489861503E-4</v>
      </c>
      <c r="F245" s="8">
        <v>1.2135015774795499</v>
      </c>
      <c r="G245" s="1">
        <f t="shared" si="9"/>
        <v>1.67472067747955</v>
      </c>
      <c r="I245" s="9">
        <v>0.24202290000000001</v>
      </c>
      <c r="J245" s="8">
        <v>7.1816750000000003</v>
      </c>
      <c r="P245" s="9">
        <v>0.24449251999999999</v>
      </c>
      <c r="Q245" s="8">
        <v>7.1809086999999998</v>
      </c>
    </row>
    <row r="246" spans="1:17" x14ac:dyDescent="0.3">
      <c r="A246">
        <v>0.25437102</v>
      </c>
      <c r="B246">
        <v>8.5203050000000005</v>
      </c>
      <c r="C246">
        <f t="shared" si="8"/>
        <v>7.341227577995908</v>
      </c>
      <c r="D246" s="3"/>
      <c r="E246" s="9">
        <v>1.0084830300376799E-3</v>
      </c>
      <c r="F246" s="8">
        <v>1.2267876624785301</v>
      </c>
      <c r="G246" s="1">
        <f t="shared" si="9"/>
        <v>1.6880067624785302</v>
      </c>
      <c r="I246" s="9">
        <v>0.24449251999999999</v>
      </c>
      <c r="J246" s="8">
        <v>7.2139024999999997</v>
      </c>
      <c r="P246" s="9">
        <v>0.24696214</v>
      </c>
      <c r="Q246" s="8">
        <v>7.2130136</v>
      </c>
    </row>
    <row r="247" spans="1:17" x14ac:dyDescent="0.3">
      <c r="A247">
        <v>0.25684062000000002</v>
      </c>
      <c r="B247">
        <v>8.5519800000000004</v>
      </c>
      <c r="C247">
        <f t="shared" si="8"/>
        <v>7.3729025779959079</v>
      </c>
      <c r="D247" s="3"/>
      <c r="E247" s="9">
        <v>1.0375400805074501E-3</v>
      </c>
      <c r="F247" s="8">
        <v>1.2400895278155899</v>
      </c>
      <c r="G247" s="1">
        <f t="shared" si="9"/>
        <v>1.7013086278155898</v>
      </c>
      <c r="I247" s="9">
        <v>0.24696214</v>
      </c>
      <c r="J247" s="8">
        <v>7.2459116000000003</v>
      </c>
      <c r="P247" s="9">
        <v>0.24943176</v>
      </c>
      <c r="Q247" s="8">
        <v>7.2449063999999996</v>
      </c>
    </row>
    <row r="248" spans="1:17" x14ac:dyDescent="0.3">
      <c r="A248">
        <v>0.25931025000000002</v>
      </c>
      <c r="B248">
        <v>8.5834399999999995</v>
      </c>
      <c r="C248">
        <f t="shared" si="8"/>
        <v>7.404362577995907</v>
      </c>
      <c r="D248" s="3"/>
      <c r="E248" s="9">
        <v>1.06743351751254E-3</v>
      </c>
      <c r="F248" s="8">
        <v>1.2534066329250599</v>
      </c>
      <c r="G248" s="1">
        <f t="shared" si="9"/>
        <v>1.71462573292506</v>
      </c>
      <c r="I248" s="9">
        <v>0.24943176</v>
      </c>
      <c r="J248" s="8">
        <v>7.2777047000000001</v>
      </c>
      <c r="P248" s="9">
        <v>0.2519014</v>
      </c>
      <c r="Q248" s="8">
        <v>7.2765909999999998</v>
      </c>
    </row>
    <row r="249" spans="1:17" x14ac:dyDescent="0.3">
      <c r="A249">
        <v>0.26177987000000003</v>
      </c>
      <c r="B249">
        <v>8.6146849999999997</v>
      </c>
      <c r="C249">
        <f t="shared" si="8"/>
        <v>7.4356075779959072</v>
      </c>
      <c r="D249" s="3"/>
      <c r="E249" s="9">
        <v>1.09818741584464E-3</v>
      </c>
      <c r="F249" s="8">
        <v>1.26673844980649</v>
      </c>
      <c r="G249" s="1">
        <f t="shared" si="9"/>
        <v>1.7279575498064901</v>
      </c>
      <c r="I249" s="9">
        <v>0.2519014</v>
      </c>
      <c r="J249" s="8">
        <v>7.3092855999999999</v>
      </c>
      <c r="P249" s="9">
        <v>0.25437102</v>
      </c>
      <c r="Q249" s="8">
        <v>7.3080689999999997</v>
      </c>
    </row>
    <row r="250" spans="1:17" x14ac:dyDescent="0.3">
      <c r="A250">
        <v>0.26424950000000003</v>
      </c>
      <c r="B250">
        <v>8.6457189999999997</v>
      </c>
      <c r="C250">
        <f t="shared" si="8"/>
        <v>7.4666415779959072</v>
      </c>
      <c r="D250" s="3"/>
      <c r="E250" s="9">
        <v>1.1298265432711601E-3</v>
      </c>
      <c r="F250" s="8">
        <v>1.2800844629136601</v>
      </c>
      <c r="G250" s="1">
        <f t="shared" si="9"/>
        <v>1.74130356291366</v>
      </c>
      <c r="I250" s="9">
        <v>0.25437102</v>
      </c>
      <c r="J250" s="8">
        <v>7.3406567999999996</v>
      </c>
      <c r="P250" s="9">
        <v>0.25684062000000002</v>
      </c>
      <c r="Q250" s="8">
        <v>7.3393445000000002</v>
      </c>
    </row>
    <row r="251" spans="1:17" x14ac:dyDescent="0.3">
      <c r="A251">
        <v>0.26671909999999999</v>
      </c>
      <c r="B251">
        <v>8.6765419999999995</v>
      </c>
      <c r="C251">
        <f t="shared" si="8"/>
        <v>7.497464577995907</v>
      </c>
      <c r="D251" s="3"/>
      <c r="E251" s="9">
        <v>1.1623763804820999E-3</v>
      </c>
      <c r="F251" s="8">
        <v>1.2934441690496901</v>
      </c>
      <c r="G251" s="1">
        <f t="shared" si="9"/>
        <v>1.7546632690496899</v>
      </c>
      <c r="I251" s="9">
        <v>0.25684062000000002</v>
      </c>
      <c r="J251" s="8">
        <v>7.3718219999999999</v>
      </c>
      <c r="P251" s="9">
        <v>0.25931025000000002</v>
      </c>
      <c r="Q251" s="8">
        <v>7.3704210000000003</v>
      </c>
    </row>
    <row r="252" spans="1:17" x14ac:dyDescent="0.3">
      <c r="A252">
        <v>0.26918872999999999</v>
      </c>
      <c r="B252">
        <v>8.7071590000000008</v>
      </c>
      <c r="C252">
        <f t="shared" si="8"/>
        <v>7.5280815779959083</v>
      </c>
      <c r="D252" s="3"/>
      <c r="E252" s="9">
        <v>1.19586314161099E-3</v>
      </c>
      <c r="F252" s="8">
        <v>1.3068170773154699</v>
      </c>
      <c r="G252" s="1">
        <f t="shared" si="9"/>
        <v>1.7680361773154698</v>
      </c>
      <c r="I252" s="9">
        <v>0.25931025000000002</v>
      </c>
      <c r="J252" s="8">
        <v>7.4027830000000003</v>
      </c>
      <c r="P252" s="9">
        <v>0.26177987000000003</v>
      </c>
      <c r="Q252" s="8">
        <v>7.4013014000000004</v>
      </c>
    </row>
    <row r="253" spans="1:17" x14ac:dyDescent="0.3">
      <c r="A253">
        <v>0.27165835999999999</v>
      </c>
      <c r="B253">
        <v>8.7375699999999998</v>
      </c>
      <c r="C253">
        <f t="shared" si="8"/>
        <v>7.5584925779959073</v>
      </c>
      <c r="D253" s="3"/>
      <c r="E253" s="9">
        <v>1.2303137953465801E-3</v>
      </c>
      <c r="F253" s="8">
        <v>1.3202027091423201</v>
      </c>
      <c r="G253" s="1">
        <f t="shared" si="9"/>
        <v>1.7814218091423202</v>
      </c>
      <c r="I253" s="9">
        <v>0.26177987000000003</v>
      </c>
      <c r="J253" s="8">
        <v>7.4335430000000002</v>
      </c>
      <c r="P253" s="9">
        <v>0.26424950000000003</v>
      </c>
      <c r="Q253" s="8">
        <v>7.4319882000000002</v>
      </c>
    </row>
    <row r="254" spans="1:17" x14ac:dyDescent="0.3">
      <c r="A254">
        <v>0.27412799999999998</v>
      </c>
      <c r="B254">
        <v>8.7677779999999998</v>
      </c>
      <c r="C254">
        <f t="shared" si="8"/>
        <v>7.5887005779959074</v>
      </c>
      <c r="D254" s="3"/>
      <c r="E254" s="9">
        <v>1.26575608665212E-3</v>
      </c>
      <c r="F254" s="8">
        <v>1.33360059831432</v>
      </c>
      <c r="G254" s="1">
        <f t="shared" si="9"/>
        <v>1.7948196983143201</v>
      </c>
      <c r="I254" s="9">
        <v>0.26424950000000003</v>
      </c>
      <c r="J254" s="8">
        <v>7.4641066</v>
      </c>
      <c r="P254" s="9">
        <v>0.26671909999999999</v>
      </c>
      <c r="Q254" s="8">
        <v>7.4624853</v>
      </c>
    </row>
    <row r="255" spans="1:17" x14ac:dyDescent="0.3">
      <c r="A255">
        <v>0.2765976</v>
      </c>
      <c r="B255">
        <v>8.7977860000000003</v>
      </c>
      <c r="C255">
        <f t="shared" si="8"/>
        <v>7.6187085779959078</v>
      </c>
      <c r="D255" s="3"/>
      <c r="E255" s="9">
        <v>1.30221855910991E-3</v>
      </c>
      <c r="F255" s="8">
        <v>1.34701029121293</v>
      </c>
      <c r="G255" s="1">
        <f t="shared" si="9"/>
        <v>1.8082293912129299</v>
      </c>
      <c r="I255" s="9">
        <v>0.26671909999999999</v>
      </c>
      <c r="J255" s="8">
        <v>7.4944750000000004</v>
      </c>
      <c r="P255" s="9">
        <v>0.26918872999999999</v>
      </c>
      <c r="Q255" s="8">
        <v>7.4927539999999997</v>
      </c>
    </row>
    <row r="256" spans="1:17" x14ac:dyDescent="0.3">
      <c r="A256">
        <v>0.27906722</v>
      </c>
      <c r="B256">
        <v>8.8275939999999995</v>
      </c>
      <c r="C256">
        <f t="shared" si="8"/>
        <v>7.648516577995907</v>
      </c>
      <c r="D256" s="3"/>
      <c r="E256" s="9">
        <v>1.33973057790896E-3</v>
      </c>
      <c r="F256" s="8">
        <v>1.36043134707925</v>
      </c>
      <c r="G256" s="1">
        <f t="shared" si="9"/>
        <v>1.8216504470792501</v>
      </c>
      <c r="I256" s="9">
        <v>0.26918872999999999</v>
      </c>
      <c r="J256" s="8">
        <v>7.5246515</v>
      </c>
      <c r="P256" s="9">
        <v>0.27165835999999999</v>
      </c>
      <c r="Q256" s="8">
        <v>7.5227849999999998</v>
      </c>
    </row>
    <row r="257" spans="1:17" x14ac:dyDescent="0.3">
      <c r="A257">
        <v>0.28153685000000001</v>
      </c>
      <c r="B257">
        <v>8.8572050000000004</v>
      </c>
      <c r="C257">
        <f t="shared" si="8"/>
        <v>7.6781275779959079</v>
      </c>
      <c r="D257" s="3"/>
      <c r="E257" s="9">
        <v>1.37832235349439E-3</v>
      </c>
      <c r="F257" s="8">
        <v>1.3738633384024901</v>
      </c>
      <c r="G257" s="1">
        <f t="shared" si="9"/>
        <v>1.8350824384024902</v>
      </c>
      <c r="I257" s="9">
        <v>0.27165835999999999</v>
      </c>
      <c r="J257" s="8">
        <v>7.55464</v>
      </c>
      <c r="P257" s="9">
        <v>0.27412799999999998</v>
      </c>
      <c r="Q257" s="8">
        <v>7.5526210000000003</v>
      </c>
    </row>
    <row r="258" spans="1:17" x14ac:dyDescent="0.3">
      <c r="A258">
        <v>0.28400648000000001</v>
      </c>
      <c r="B258">
        <v>8.8866219999999991</v>
      </c>
      <c r="C258">
        <f t="shared" si="8"/>
        <v>7.7075445779959066</v>
      </c>
      <c r="D258" s="3"/>
      <c r="E258" s="9">
        <v>1.41802496589747E-3</v>
      </c>
      <c r="F258" s="8">
        <v>1.38730585144092</v>
      </c>
      <c r="G258" s="1">
        <f t="shared" si="9"/>
        <v>1.8485249514409201</v>
      </c>
      <c r="I258" s="9">
        <v>0.27412799999999998</v>
      </c>
      <c r="J258" s="8">
        <v>7.5844426</v>
      </c>
      <c r="P258" s="9">
        <v>0.2765976</v>
      </c>
      <c r="Q258" s="8">
        <v>7.5822649999999996</v>
      </c>
    </row>
    <row r="259" spans="1:17" x14ac:dyDescent="0.3">
      <c r="A259">
        <v>0.28647608000000002</v>
      </c>
      <c r="B259">
        <v>8.9158469999999994</v>
      </c>
      <c r="C259">
        <f t="shared" si="8"/>
        <v>7.7367695779959069</v>
      </c>
      <c r="D259" s="3"/>
      <c r="E259" s="9">
        <v>1.45887038976608E-3</v>
      </c>
      <c r="F259" s="8">
        <v>1.4007584868385601</v>
      </c>
      <c r="G259" s="1">
        <f t="shared" si="9"/>
        <v>1.86197758683856</v>
      </c>
      <c r="I259" s="9">
        <v>0.2765976</v>
      </c>
      <c r="J259" s="8">
        <v>7.6140629999999998</v>
      </c>
      <c r="P259" s="9">
        <v>0.27906722</v>
      </c>
      <c r="Q259" s="8">
        <v>7.6117186999999999</v>
      </c>
    </row>
    <row r="260" spans="1:17" x14ac:dyDescent="0.3">
      <c r="A260">
        <v>0.28894570000000003</v>
      </c>
      <c r="B260">
        <v>8.9448810000000005</v>
      </c>
      <c r="C260">
        <f t="shared" ref="C260:C323" si="10">B260-2*PI()*1.68*(0.1187-0.007)</f>
        <v>7.765803577995908</v>
      </c>
      <c r="D260" s="3"/>
      <c r="E260" s="9">
        <v>1.5008915201156099E-3</v>
      </c>
      <c r="F260" s="8">
        <v>1.41422086066439</v>
      </c>
      <c r="G260" s="1">
        <f t="shared" ref="G260:G323" si="11">$B$3+F260</f>
        <v>1.8754399606643899</v>
      </c>
      <c r="I260" s="9">
        <v>0.27906722</v>
      </c>
      <c r="J260" s="8">
        <v>7.6435029999999999</v>
      </c>
      <c r="P260" s="9">
        <v>0.28153685000000001</v>
      </c>
      <c r="Q260" s="8">
        <v>7.6409849999999997</v>
      </c>
    </row>
    <row r="261" spans="1:17" x14ac:dyDescent="0.3">
      <c r="A261">
        <v>0.29141532999999997</v>
      </c>
      <c r="B261">
        <v>8.9737279999999995</v>
      </c>
      <c r="C261">
        <f t="shared" si="10"/>
        <v>7.794650577995907</v>
      </c>
      <c r="D261" s="3"/>
      <c r="E261" s="9">
        <v>1.5441221988210601E-3</v>
      </c>
      <c r="F261" s="8">
        <v>1.42769260519733</v>
      </c>
      <c r="G261" s="1">
        <f t="shared" si="11"/>
        <v>1.8889117051973301</v>
      </c>
      <c r="I261" s="9">
        <v>0.28153685000000001</v>
      </c>
      <c r="J261" s="8">
        <v>7.672758</v>
      </c>
      <c r="P261" s="9">
        <v>0.28400648000000001</v>
      </c>
      <c r="Q261" s="8">
        <v>7.6700660000000003</v>
      </c>
    </row>
    <row r="262" spans="1:17" x14ac:dyDescent="0.3">
      <c r="A262">
        <v>0.29388495999999997</v>
      </c>
      <c r="B262">
        <v>9.0023890000000009</v>
      </c>
      <c r="C262">
        <f t="shared" si="10"/>
        <v>7.8233115779959084</v>
      </c>
      <c r="D262" s="3"/>
      <c r="E262" s="9">
        <v>1.58859724187175E-3</v>
      </c>
      <c r="F262" s="8">
        <v>1.4411733702093199</v>
      </c>
      <c r="G262" s="1">
        <f t="shared" si="11"/>
        <v>1.9023924702093198</v>
      </c>
      <c r="I262" s="9">
        <v>0.28400648000000001</v>
      </c>
      <c r="J262" s="8">
        <v>7.7017379999999998</v>
      </c>
      <c r="P262" s="9">
        <v>0.28647608000000002</v>
      </c>
      <c r="Q262" s="8">
        <v>7.6989646</v>
      </c>
    </row>
    <row r="263" spans="1:17" x14ac:dyDescent="0.3">
      <c r="A263">
        <v>0.29635455999999999</v>
      </c>
      <c r="B263">
        <v>9.0308700000000002</v>
      </c>
      <c r="C263">
        <f t="shared" si="10"/>
        <v>7.8517925779959077</v>
      </c>
      <c r="D263" s="3"/>
      <c r="E263" s="9">
        <v>1.6343524674105E-3</v>
      </c>
      <c r="F263" s="8">
        <v>1.4546628243698101</v>
      </c>
      <c r="G263" s="1">
        <f t="shared" si="11"/>
        <v>1.9158819243698102</v>
      </c>
      <c r="I263" s="9">
        <v>0.28647608000000002</v>
      </c>
      <c r="J263" s="8">
        <v>7.7305317000000002</v>
      </c>
      <c r="P263" s="9">
        <v>0.28894570000000003</v>
      </c>
      <c r="Q263" s="8">
        <v>7.7276829999999999</v>
      </c>
    </row>
    <row r="264" spans="1:17" x14ac:dyDescent="0.3">
      <c r="A264">
        <v>0.29882419999999998</v>
      </c>
      <c r="B264">
        <v>9.0591840000000001</v>
      </c>
      <c r="C264">
        <f t="shared" si="10"/>
        <v>7.8801065779959076</v>
      </c>
      <c r="D264" s="3"/>
      <c r="E264" s="9">
        <v>1.68142472457989E-3</v>
      </c>
      <c r="F264" s="8">
        <v>1.46816065686347</v>
      </c>
      <c r="G264" s="1">
        <f t="shared" si="11"/>
        <v>1.9293797568634701</v>
      </c>
      <c r="I264" s="9">
        <v>0.28894570000000003</v>
      </c>
      <c r="J264" s="8">
        <v>7.7591424</v>
      </c>
      <c r="P264" s="9">
        <v>0.29141532999999997</v>
      </c>
      <c r="Q264" s="8">
        <v>7.7562230000000003</v>
      </c>
    </row>
    <row r="265" spans="1:17" x14ac:dyDescent="0.3">
      <c r="A265">
        <v>0.30129381999999999</v>
      </c>
      <c r="B265">
        <v>9.0873200000000001</v>
      </c>
      <c r="C265">
        <f t="shared" si="10"/>
        <v>7.9082425779959076</v>
      </c>
      <c r="D265" s="3"/>
      <c r="E265" s="9">
        <v>1.72985192319885E-3</v>
      </c>
      <c r="F265" s="8">
        <v>1.4816665792299</v>
      </c>
      <c r="G265" s="1">
        <f t="shared" si="11"/>
        <v>1.9428856792298999</v>
      </c>
      <c r="I265" s="9">
        <v>0.29141532999999997</v>
      </c>
      <c r="J265" s="8">
        <v>7.7875719999999999</v>
      </c>
      <c r="P265" s="9">
        <v>0.29388495999999997</v>
      </c>
      <c r="Q265" s="8">
        <v>7.7845883000000002</v>
      </c>
    </row>
    <row r="266" spans="1:17" x14ac:dyDescent="0.3">
      <c r="A266">
        <v>0.30376344999999999</v>
      </c>
      <c r="B266">
        <v>9.1152829999999998</v>
      </c>
      <c r="C266">
        <f t="shared" si="10"/>
        <v>7.9362055779959073</v>
      </c>
      <c r="D266" s="3"/>
      <c r="E266" s="9">
        <v>1.77967306429353E-3</v>
      </c>
      <c r="F266" s="8">
        <v>1.4951803274307001</v>
      </c>
      <c r="G266" s="1">
        <f t="shared" si="11"/>
        <v>1.9563994274306999</v>
      </c>
      <c r="I266" s="9">
        <v>0.29388495999999997</v>
      </c>
      <c r="J266" s="8">
        <v>7.815823</v>
      </c>
      <c r="P266" s="9">
        <v>0.29635455999999999</v>
      </c>
      <c r="Q266" s="8">
        <v>7.8127810000000002</v>
      </c>
    </row>
    <row r="267" spans="1:17" x14ac:dyDescent="0.3">
      <c r="A267">
        <v>0.30623305000000001</v>
      </c>
      <c r="B267">
        <v>9.1430720000000001</v>
      </c>
      <c r="C267">
        <f t="shared" si="10"/>
        <v>7.9639945779959076</v>
      </c>
      <c r="D267" s="3"/>
      <c r="E267" s="9">
        <v>1.8309282715068601E-3</v>
      </c>
      <c r="F267" s="8">
        <v>1.5087016641457001</v>
      </c>
      <c r="G267" s="1">
        <f t="shared" si="11"/>
        <v>1.9699207641457002</v>
      </c>
      <c r="I267" s="9">
        <v>0.29635455999999999</v>
      </c>
      <c r="J267" s="8">
        <v>7.8438983000000002</v>
      </c>
      <c r="P267" s="9">
        <v>0.29882419999999998</v>
      </c>
      <c r="Q267" s="8">
        <v>7.840802</v>
      </c>
    </row>
    <row r="268" spans="1:17" x14ac:dyDescent="0.3">
      <c r="A268">
        <v>0.30870268000000001</v>
      </c>
      <c r="B268">
        <v>9.1706920000000007</v>
      </c>
      <c r="C268">
        <f t="shared" si="10"/>
        <v>7.9916145779959082</v>
      </c>
      <c r="D268" s="3"/>
      <c r="E268" s="9">
        <v>1.88365882341229E-3</v>
      </c>
      <c r="F268" s="8">
        <v>1.5222303812971201</v>
      </c>
      <c r="G268" s="1">
        <f t="shared" si="11"/>
        <v>1.9834494812971202</v>
      </c>
      <c r="I268" s="9">
        <v>0.29882419999999998</v>
      </c>
      <c r="J268" s="8">
        <v>7.8717990000000002</v>
      </c>
      <c r="P268" s="9">
        <v>0.30129381999999999</v>
      </c>
      <c r="Q268" s="8">
        <v>7.8686556999999997</v>
      </c>
    </row>
    <row r="269" spans="1:17" x14ac:dyDescent="0.3">
      <c r="A269">
        <v>0.31117230000000001</v>
      </c>
      <c r="B269">
        <v>9.1981439999999992</v>
      </c>
      <c r="C269">
        <f t="shared" si="10"/>
        <v>8.0190665779959076</v>
      </c>
      <c r="D269" s="3"/>
      <c r="E269" s="9">
        <v>1.9379071867576701E-3</v>
      </c>
      <c r="F269" s="8">
        <v>1.53576630279654</v>
      </c>
      <c r="G269" s="1">
        <f t="shared" si="11"/>
        <v>1.9969854027965401</v>
      </c>
      <c r="I269" s="9">
        <v>0.30129381999999999</v>
      </c>
      <c r="J269" s="8">
        <v>7.8995284999999997</v>
      </c>
      <c r="P269" s="9">
        <v>0.30376344999999999</v>
      </c>
      <c r="Q269" s="8">
        <v>7.8963429999999999</v>
      </c>
    </row>
    <row r="270" spans="1:17" x14ac:dyDescent="0.3">
      <c r="A270">
        <v>0.31364194000000001</v>
      </c>
      <c r="B270">
        <v>9.2254310000000004</v>
      </c>
      <c r="C270">
        <f t="shared" si="10"/>
        <v>8.0463535779959088</v>
      </c>
      <c r="D270" s="3"/>
      <c r="E270" s="9">
        <v>1.99371705066599E-3</v>
      </c>
      <c r="F270" s="8">
        <v>1.54930928750513</v>
      </c>
      <c r="G270" s="1">
        <f t="shared" si="11"/>
        <v>2.0105283875051301</v>
      </c>
      <c r="I270" s="9">
        <v>0.30376344999999999</v>
      </c>
      <c r="J270" s="8">
        <v>7.9270883000000003</v>
      </c>
      <c r="P270" s="9">
        <v>0.30623305000000001</v>
      </c>
      <c r="Q270" s="8">
        <v>7.9238676999999997</v>
      </c>
    </row>
    <row r="271" spans="1:17" x14ac:dyDescent="0.3">
      <c r="A271">
        <v>0.31611152999999997</v>
      </c>
      <c r="B271">
        <v>9.2525549999999992</v>
      </c>
      <c r="C271">
        <f t="shared" si="10"/>
        <v>8.0734775779959076</v>
      </c>
      <c r="D271" s="3"/>
      <c r="E271" s="9">
        <v>2.0511333618205702E-3</v>
      </c>
      <c r="F271" s="8">
        <v>1.56285923239407</v>
      </c>
      <c r="G271" s="1">
        <f t="shared" si="11"/>
        <v>2.0240783323940699</v>
      </c>
      <c r="I271" s="9">
        <v>0.30623305000000001</v>
      </c>
      <c r="J271" s="8">
        <v>7.9544816000000003</v>
      </c>
      <c r="P271" s="9">
        <v>0.30870268000000001</v>
      </c>
      <c r="Q271" s="8">
        <v>7.9512314999999996</v>
      </c>
    </row>
    <row r="272" spans="1:17" x14ac:dyDescent="0.3">
      <c r="A272">
        <v>0.31858115999999997</v>
      </c>
      <c r="B272">
        <v>9.2795170000000002</v>
      </c>
      <c r="C272">
        <f t="shared" si="10"/>
        <v>8.1004395779959086</v>
      </c>
      <c r="D272" s="3"/>
      <c r="E272" s="9">
        <v>2.11020236066305E-3</v>
      </c>
      <c r="F272" s="8">
        <v>1.57641607588794</v>
      </c>
      <c r="G272" s="1">
        <f t="shared" si="11"/>
        <v>2.0376351758879401</v>
      </c>
      <c r="I272" s="9">
        <v>0.30870268000000001</v>
      </c>
      <c r="J272" s="8">
        <v>7.9817095</v>
      </c>
      <c r="P272" s="9">
        <v>0.31117230000000001</v>
      </c>
      <c r="Q272" s="8">
        <v>7.9784364999999999</v>
      </c>
    </row>
    <row r="273" spans="1:17" x14ac:dyDescent="0.3">
      <c r="A273">
        <v>0.32105080000000003</v>
      </c>
      <c r="B273">
        <v>9.3063210000000005</v>
      </c>
      <c r="C273">
        <f t="shared" si="10"/>
        <v>8.1272435779959089</v>
      </c>
      <c r="D273" s="3"/>
      <c r="E273" s="9">
        <v>2.1709716186332998E-3</v>
      </c>
      <c r="F273" s="8">
        <v>1.5899798013703501</v>
      </c>
      <c r="G273" s="1">
        <f t="shared" si="11"/>
        <v>2.0511989013703502</v>
      </c>
      <c r="I273" s="9">
        <v>0.31117230000000001</v>
      </c>
      <c r="J273" s="8">
        <v>8.0087759999999992</v>
      </c>
      <c r="P273" s="9">
        <v>0.31364194000000001</v>
      </c>
      <c r="Q273" s="8">
        <v>8.0054859999999994</v>
      </c>
    </row>
    <row r="274" spans="1:17" x14ac:dyDescent="0.3">
      <c r="A274">
        <v>0.32352041999999998</v>
      </c>
      <c r="B274">
        <v>9.3329690000000003</v>
      </c>
      <c r="C274">
        <f t="shared" si="10"/>
        <v>8.1538915779959087</v>
      </c>
      <c r="D274" s="3"/>
      <c r="E274" s="9">
        <v>2.23349007648127E-3</v>
      </c>
      <c r="F274" s="8">
        <v>1.6035504408277399</v>
      </c>
      <c r="G274" s="1">
        <f t="shared" si="11"/>
        <v>2.06476954082774</v>
      </c>
      <c r="I274" s="9">
        <v>0.31364194000000001</v>
      </c>
      <c r="J274" s="8">
        <v>8.0356819999999995</v>
      </c>
      <c r="P274" s="9">
        <v>0.31611152999999997</v>
      </c>
      <c r="Q274" s="8">
        <v>8.0323810000000009</v>
      </c>
    </row>
    <row r="275" spans="1:17" x14ac:dyDescent="0.3">
      <c r="A275">
        <v>0.32599001999999999</v>
      </c>
      <c r="B275">
        <v>9.3594629999999999</v>
      </c>
      <c r="C275">
        <f t="shared" si="10"/>
        <v>8.1803855779959083</v>
      </c>
      <c r="D275" s="3"/>
      <c r="E275" s="9">
        <v>2.2978080836815701E-3</v>
      </c>
      <c r="F275" s="8">
        <v>1.6171280786048099</v>
      </c>
      <c r="G275" s="1">
        <f t="shared" si="11"/>
        <v>2.07834717860481</v>
      </c>
      <c r="I275" s="9">
        <v>0.31611152999999997</v>
      </c>
      <c r="J275" s="8">
        <v>8.0624289999999998</v>
      </c>
      <c r="P275" s="9">
        <v>0.31858115999999997</v>
      </c>
      <c r="Q275" s="8">
        <v>8.0590689999999991</v>
      </c>
    </row>
    <row r="276" spans="1:17" x14ac:dyDescent="0.3">
      <c r="A276">
        <v>0.32845964999999999</v>
      </c>
      <c r="B276">
        <v>9.3858040000000003</v>
      </c>
      <c r="C276">
        <f t="shared" si="10"/>
        <v>8.2067265779959087</v>
      </c>
      <c r="D276" s="3"/>
      <c r="E276" s="9">
        <v>2.3639774389826599E-3</v>
      </c>
      <c r="F276" s="8">
        <v>1.63071285524265</v>
      </c>
      <c r="G276" s="1">
        <f t="shared" si="11"/>
        <v>2.0919319552426501</v>
      </c>
      <c r="I276" s="9">
        <v>0.31858115999999997</v>
      </c>
      <c r="J276" s="8">
        <v>8.0890219999999999</v>
      </c>
      <c r="P276" s="9">
        <v>0.32105080000000003</v>
      </c>
      <c r="Q276" s="8">
        <v>8.0855730000000001</v>
      </c>
    </row>
    <row r="277" spans="1:17" x14ac:dyDescent="0.3">
      <c r="A277">
        <v>0.33092927999999999</v>
      </c>
      <c r="B277">
        <v>9.4119969999999995</v>
      </c>
      <c r="C277">
        <f t="shared" si="10"/>
        <v>8.2329195779959079</v>
      </c>
      <c r="D277" s="3"/>
      <c r="E277" s="9">
        <v>2.43205143212313E-3</v>
      </c>
      <c r="F277" s="8">
        <v>1.64430497136918</v>
      </c>
      <c r="G277" s="1">
        <f t="shared" si="11"/>
        <v>2.1055240713691799</v>
      </c>
      <c r="I277" s="9">
        <v>0.32105080000000003</v>
      </c>
      <c r="J277" s="8">
        <v>8.1154609999999998</v>
      </c>
      <c r="P277" s="9">
        <v>0.32352041999999998</v>
      </c>
      <c r="Q277" s="8">
        <v>8.1119190000000003</v>
      </c>
    </row>
    <row r="278" spans="1:17" x14ac:dyDescent="0.3">
      <c r="A278">
        <v>0.3333989</v>
      </c>
      <c r="B278">
        <v>9.4380430000000004</v>
      </c>
      <c r="C278">
        <f t="shared" si="10"/>
        <v>8.2589655779959088</v>
      </c>
      <c r="D278" s="3"/>
      <c r="E278" s="9">
        <v>2.5020848867487902E-3</v>
      </c>
      <c r="F278" s="8">
        <v>1.6579046915998299</v>
      </c>
      <c r="G278" s="1">
        <f t="shared" si="11"/>
        <v>2.1191237915998298</v>
      </c>
      <c r="I278" s="9">
        <v>0.32352041999999998</v>
      </c>
      <c r="J278" s="8">
        <v>8.14175</v>
      </c>
      <c r="P278" s="9">
        <v>0.32599001999999999</v>
      </c>
      <c r="Q278" s="8">
        <v>8.1381080000000008</v>
      </c>
    </row>
    <row r="279" spans="1:17" x14ac:dyDescent="0.3">
      <c r="A279">
        <v>0.33586850000000001</v>
      </c>
      <c r="B279">
        <v>9.4639430000000004</v>
      </c>
      <c r="C279">
        <f t="shared" si="10"/>
        <v>8.2848655779959088</v>
      </c>
      <c r="D279" s="3"/>
      <c r="E279" s="9">
        <v>2.5741342045651301E-3</v>
      </c>
      <c r="F279" s="8">
        <v>1.6715123484736401</v>
      </c>
      <c r="G279" s="1">
        <f t="shared" si="11"/>
        <v>2.1327314484736402</v>
      </c>
      <c r="I279" s="9">
        <v>0.32599001999999999</v>
      </c>
      <c r="J279" s="8">
        <v>8.1678909999999991</v>
      </c>
      <c r="P279" s="9">
        <v>0.32845964999999999</v>
      </c>
      <c r="Q279" s="8">
        <v>8.1641429999999993</v>
      </c>
    </row>
    <row r="280" spans="1:17" x14ac:dyDescent="0.3">
      <c r="A280">
        <v>0.33833814000000001</v>
      </c>
      <c r="B280">
        <v>9.4896999999999991</v>
      </c>
      <c r="C280">
        <f t="shared" si="10"/>
        <v>8.3106225779959075</v>
      </c>
      <c r="D280" s="3"/>
      <c r="E280" s="9">
        <v>2.6482574107606202E-3</v>
      </c>
      <c r="F280" s="8">
        <v>1.6851283462859199</v>
      </c>
      <c r="G280" s="1">
        <f t="shared" si="11"/>
        <v>2.1463474462859198</v>
      </c>
      <c r="I280" s="9">
        <v>0.32845964999999999</v>
      </c>
      <c r="J280" s="8">
        <v>8.1938840000000006</v>
      </c>
      <c r="P280" s="9">
        <v>0.33092927999999999</v>
      </c>
      <c r="Q280" s="8">
        <v>8.1900220000000008</v>
      </c>
    </row>
    <row r="281" spans="1:17" x14ac:dyDescent="0.3">
      <c r="A281">
        <v>0.34080777000000001</v>
      </c>
      <c r="B281">
        <v>9.5153180000000006</v>
      </c>
      <c r="C281">
        <f t="shared" si="10"/>
        <v>8.336240577995909</v>
      </c>
      <c r="D281" s="3"/>
      <c r="E281" s="9">
        <v>2.7245142007374899E-3</v>
      </c>
      <c r="F281" s="8">
        <v>1.6987531648888801</v>
      </c>
      <c r="G281" s="1">
        <f t="shared" si="11"/>
        <v>2.1599722648888799</v>
      </c>
      <c r="I281" s="9">
        <v>0.33092927999999999</v>
      </c>
      <c r="J281" s="8">
        <v>8.2197340000000008</v>
      </c>
      <c r="P281" s="9">
        <v>0.3333989</v>
      </c>
      <c r="Q281" s="8">
        <v>8.2157520000000002</v>
      </c>
    </row>
    <row r="282" spans="1:17" x14ac:dyDescent="0.3">
      <c r="A282">
        <v>0.34327735999999998</v>
      </c>
      <c r="B282">
        <v>9.5407969999999995</v>
      </c>
      <c r="C282">
        <f t="shared" si="10"/>
        <v>8.3617195779959079</v>
      </c>
      <c r="D282" s="3"/>
      <c r="E282" s="9">
        <v>2.8029659881877202E-3</v>
      </c>
      <c r="F282" s="8">
        <v>1.7123873633992599</v>
      </c>
      <c r="G282" s="1">
        <f t="shared" si="11"/>
        <v>2.1736064633992598</v>
      </c>
      <c r="I282" s="9">
        <v>0.3333989</v>
      </c>
      <c r="J282" s="8">
        <v>8.2454420000000006</v>
      </c>
      <c r="P282" s="9">
        <v>0.33586850000000001</v>
      </c>
      <c r="Q282" s="8">
        <v>8.2413310000000006</v>
      </c>
    </row>
    <row r="283" spans="1:17" x14ac:dyDescent="0.3">
      <c r="A283">
        <v>0.34574700000000003</v>
      </c>
      <c r="B283">
        <v>9.566141</v>
      </c>
      <c r="C283">
        <f t="shared" si="10"/>
        <v>8.3870635779959084</v>
      </c>
      <c r="D283" s="3"/>
      <c r="E283" s="9">
        <v>2.8836759545527199E-3</v>
      </c>
      <c r="F283" s="8">
        <v>1.72603158378615</v>
      </c>
      <c r="G283" s="1">
        <f t="shared" si="11"/>
        <v>2.1872506837861501</v>
      </c>
      <c r="I283" s="9">
        <v>0.33586850000000001</v>
      </c>
      <c r="J283" s="8">
        <v>8.2710120000000007</v>
      </c>
      <c r="P283" s="9">
        <v>0.33833814000000001</v>
      </c>
      <c r="Q283" s="8">
        <v>8.2667619999999999</v>
      </c>
    </row>
    <row r="284" spans="1:17" x14ac:dyDescent="0.3">
      <c r="A284">
        <v>0.34821661999999998</v>
      </c>
      <c r="B284">
        <v>9.5913509999999995</v>
      </c>
      <c r="C284">
        <f t="shared" si="10"/>
        <v>8.4122735779959079</v>
      </c>
      <c r="D284" s="3"/>
      <c r="E284" s="9">
        <v>2.9667090999067501E-3</v>
      </c>
      <c r="F284" s="8">
        <v>1.73968655432492</v>
      </c>
      <c r="G284" s="1">
        <f t="shared" si="11"/>
        <v>2.2009056543249201</v>
      </c>
      <c r="I284" s="9">
        <v>0.33833814000000001</v>
      </c>
      <c r="J284" s="8">
        <v>8.2964324999999999</v>
      </c>
      <c r="P284" s="9">
        <v>0.34080777000000001</v>
      </c>
      <c r="Q284" s="8">
        <v>8.2920475000000007</v>
      </c>
    </row>
    <row r="285" spans="1:17" x14ac:dyDescent="0.3">
      <c r="A285">
        <v>0.35068624999999998</v>
      </c>
      <c r="B285">
        <v>9.6164299999999994</v>
      </c>
      <c r="C285">
        <f t="shared" si="10"/>
        <v>8.4373525779959078</v>
      </c>
      <c r="D285" s="3"/>
      <c r="E285" s="9">
        <v>3.05213229530501E-3</v>
      </c>
      <c r="F285" s="8">
        <v>1.75335309290208</v>
      </c>
      <c r="G285" s="1">
        <f t="shared" si="11"/>
        <v>2.2145721929020801</v>
      </c>
      <c r="I285" s="9">
        <v>0.34080777000000001</v>
      </c>
      <c r="J285" s="8">
        <v>8.3216099999999997</v>
      </c>
      <c r="P285" s="9">
        <v>0.34327735999999998</v>
      </c>
      <c r="Q285" s="8">
        <v>8.3171879999999998</v>
      </c>
    </row>
    <row r="286" spans="1:17" x14ac:dyDescent="0.3">
      <c r="A286">
        <v>0.35315584999999999</v>
      </c>
      <c r="B286">
        <v>9.6412820000000004</v>
      </c>
      <c r="C286">
        <f t="shared" si="10"/>
        <v>8.4622045779959087</v>
      </c>
      <c r="D286" s="3"/>
      <c r="E286" s="9">
        <v>3.1400143366384502E-3</v>
      </c>
      <c r="F286" s="8">
        <v>1.7670321101604001</v>
      </c>
      <c r="G286" s="1">
        <f t="shared" si="11"/>
        <v>2.2282512101604</v>
      </c>
      <c r="I286" s="9">
        <v>0.34327735999999998</v>
      </c>
      <c r="J286" s="8">
        <v>8.346641</v>
      </c>
      <c r="P286" s="9">
        <v>0.34574700000000003</v>
      </c>
      <c r="Q286" s="8">
        <v>8.3421869999999991</v>
      </c>
    </row>
    <row r="287" spans="1:17" x14ac:dyDescent="0.3">
      <c r="A287">
        <v>0.35562547999999999</v>
      </c>
      <c r="B287">
        <v>9.665991</v>
      </c>
      <c r="C287">
        <f t="shared" si="10"/>
        <v>8.4869135779959084</v>
      </c>
      <c r="D287" s="3"/>
      <c r="E287" s="9">
        <v>3.2304260000388398E-3</v>
      </c>
      <c r="F287" s="8">
        <v>1.78072461247759</v>
      </c>
      <c r="G287" s="1">
        <f t="shared" si="11"/>
        <v>2.2419437124775898</v>
      </c>
      <c r="I287" s="9">
        <v>0.34574700000000003</v>
      </c>
      <c r="J287" s="8">
        <v>8.3715250000000001</v>
      </c>
      <c r="P287" s="9">
        <v>0.34821661999999998</v>
      </c>
      <c r="Q287" s="8">
        <v>8.3670449999999992</v>
      </c>
    </row>
    <row r="288" spans="1:17" x14ac:dyDescent="0.3">
      <c r="A288">
        <v>0.3580951</v>
      </c>
      <c r="B288">
        <v>9.6905610000000006</v>
      </c>
      <c r="C288">
        <f t="shared" si="10"/>
        <v>8.511483577995909</v>
      </c>
      <c r="D288" s="3"/>
      <c r="E288" s="9">
        <v>3.3234400988785598E-3</v>
      </c>
      <c r="F288" s="8">
        <v>1.7944317047759699</v>
      </c>
      <c r="G288" s="1">
        <f t="shared" si="11"/>
        <v>2.25565080477597</v>
      </c>
      <c r="I288" s="9">
        <v>0.34821661999999998</v>
      </c>
      <c r="J288" s="8">
        <v>8.3962649999999996</v>
      </c>
      <c r="P288" s="9">
        <v>0.35068624999999998</v>
      </c>
      <c r="Q288" s="8">
        <v>8.3917649999999995</v>
      </c>
    </row>
    <row r="289" spans="1:17" x14ac:dyDescent="0.3">
      <c r="A289">
        <v>0.36056473999999999</v>
      </c>
      <c r="B289">
        <v>9.7149940000000008</v>
      </c>
      <c r="C289">
        <f t="shared" si="10"/>
        <v>8.5359165779959092</v>
      </c>
      <c r="D289" s="3"/>
      <c r="E289" s="9">
        <v>3.41913154241115E-3</v>
      </c>
      <c r="F289" s="8">
        <v>1.8081545931640199</v>
      </c>
      <c r="G289" s="1">
        <f t="shared" si="11"/>
        <v>2.2693736931640198</v>
      </c>
      <c r="I289" s="9">
        <v>0.35068624999999998</v>
      </c>
      <c r="J289" s="8">
        <v>8.4208619999999996</v>
      </c>
      <c r="P289" s="9">
        <v>0.35315584999999999</v>
      </c>
      <c r="Q289" s="8">
        <v>8.4163475000000005</v>
      </c>
    </row>
    <row r="290" spans="1:17" x14ac:dyDescent="0.3">
      <c r="A290">
        <v>0.36303434000000001</v>
      </c>
      <c r="B290">
        <v>9.7392939999999992</v>
      </c>
      <c r="C290">
        <f t="shared" si="10"/>
        <v>8.5602165779959076</v>
      </c>
      <c r="D290" s="3"/>
      <c r="E290" s="9">
        <v>3.5175773960997299E-3</v>
      </c>
      <c r="F290" s="8">
        <v>1.82189458741378</v>
      </c>
      <c r="G290" s="1">
        <f t="shared" si="11"/>
        <v>2.2831136874137798</v>
      </c>
      <c r="I290" s="9">
        <v>0.35315584999999999</v>
      </c>
      <c r="J290" s="8">
        <v>8.4453189999999996</v>
      </c>
      <c r="P290" s="9">
        <v>0.35562547999999999</v>
      </c>
      <c r="Q290" s="8">
        <v>8.4407960000000006</v>
      </c>
    </row>
    <row r="291" spans="1:17" x14ac:dyDescent="0.3">
      <c r="A291">
        <v>0.36550397000000001</v>
      </c>
      <c r="B291">
        <v>9.7634600000000002</v>
      </c>
      <c r="C291">
        <f t="shared" si="10"/>
        <v>8.5843825779959086</v>
      </c>
      <c r="D291" s="3"/>
      <c r="E291" s="9">
        <v>3.6188569436819799E-3</v>
      </c>
      <c r="F291" s="8">
        <v>1.83565310328068</v>
      </c>
      <c r="G291" s="1">
        <f t="shared" si="11"/>
        <v>2.2968722032806799</v>
      </c>
      <c r="I291" s="9">
        <v>0.35562547999999999</v>
      </c>
      <c r="J291" s="8">
        <v>8.4696370000000005</v>
      </c>
      <c r="P291" s="9">
        <v>0.3580951</v>
      </c>
      <c r="Q291" s="8">
        <v>8.4651099999999992</v>
      </c>
    </row>
    <row r="292" spans="1:17" x14ac:dyDescent="0.3">
      <c r="A292">
        <v>0.36797360000000001</v>
      </c>
      <c r="B292">
        <v>9.7874949999999998</v>
      </c>
      <c r="C292">
        <f t="shared" si="10"/>
        <v>8.6084175779959082</v>
      </c>
      <c r="D292" s="3"/>
      <c r="E292" s="9">
        <v>3.7230517510215902E-3</v>
      </c>
      <c r="F292" s="8">
        <v>1.8494316646736599</v>
      </c>
      <c r="G292" s="1">
        <f t="shared" si="11"/>
        <v>2.3106507646736598</v>
      </c>
      <c r="I292" s="9">
        <v>0.3580951</v>
      </c>
      <c r="J292" s="8">
        <v>8.493817</v>
      </c>
      <c r="P292" s="9">
        <v>0.36056473999999999</v>
      </c>
      <c r="Q292" s="8">
        <v>8.489293</v>
      </c>
    </row>
    <row r="293" spans="1:17" x14ac:dyDescent="0.3">
      <c r="A293" s="1">
        <v>0.37044322000000002</v>
      </c>
      <c r="B293">
        <v>9.8113984999999992</v>
      </c>
      <c r="C293">
        <f t="shared" si="10"/>
        <v>8.6323210779959076</v>
      </c>
      <c r="D293" s="3"/>
      <c r="E293" s="9">
        <v>3.8302457317976502E-3</v>
      </c>
      <c r="F293" s="8">
        <v>1.86323190568441</v>
      </c>
      <c r="G293" s="1">
        <f t="shared" si="11"/>
        <v>2.3244510056844101</v>
      </c>
      <c r="I293" s="9">
        <v>0.36056473999999999</v>
      </c>
      <c r="J293" s="8">
        <v>8.5178619999999992</v>
      </c>
      <c r="P293" s="9">
        <v>0.36303434000000001</v>
      </c>
      <c r="Q293" s="8">
        <v>8.5133469999999996</v>
      </c>
    </row>
    <row r="294" spans="1:17" x14ac:dyDescent="0.3">
      <c r="A294">
        <v>0.37291281999999998</v>
      </c>
      <c r="B294">
        <v>9.8351755000000001</v>
      </c>
      <c r="C294">
        <f t="shared" si="10"/>
        <v>8.6560980779959085</v>
      </c>
      <c r="D294" s="3"/>
      <c r="E294" s="9">
        <v>3.9405252150848096E-3</v>
      </c>
      <c r="F294" s="8">
        <v>1.8770555724842299</v>
      </c>
      <c r="G294" s="1">
        <f t="shared" si="11"/>
        <v>2.3382746724842298</v>
      </c>
      <c r="I294" s="9">
        <v>0.36303434000000001</v>
      </c>
      <c r="J294" s="8">
        <v>8.5417729999999992</v>
      </c>
      <c r="P294" s="9">
        <v>0.36550397000000001</v>
      </c>
      <c r="Q294" s="8">
        <v>8.5372730000000008</v>
      </c>
    </row>
    <row r="295" spans="1:17" x14ac:dyDescent="0.3">
      <c r="A295">
        <v>0.37538244999999998</v>
      </c>
      <c r="B295">
        <v>9.8588260000000005</v>
      </c>
      <c r="C295">
        <f t="shared" si="10"/>
        <v>8.6797485779959089</v>
      </c>
      <c r="D295" s="3"/>
      <c r="E295" s="9">
        <v>4.0539790148787598E-3</v>
      </c>
      <c r="F295" s="8">
        <v>1.8909045250955301</v>
      </c>
      <c r="G295" s="1">
        <f t="shared" si="11"/>
        <v>2.3521236250955302</v>
      </c>
      <c r="I295" s="9">
        <v>0.36550397000000001</v>
      </c>
      <c r="J295" s="8">
        <v>8.5655509999999992</v>
      </c>
      <c r="P295" s="9">
        <v>0.36797360000000001</v>
      </c>
      <c r="Q295" s="8">
        <v>8.5610079999999993</v>
      </c>
    </row>
    <row r="296" spans="1:17" x14ac:dyDescent="0.3">
      <c r="A296">
        <v>0.37785207999999998</v>
      </c>
      <c r="B296">
        <v>9.8823519999999991</v>
      </c>
      <c r="C296">
        <f t="shared" si="10"/>
        <v>8.7032745779959075</v>
      </c>
      <c r="D296" s="3"/>
      <c r="E296" s="9">
        <v>4.17069850162288E-3</v>
      </c>
      <c r="F296" s="8">
        <v>1.90478073904333</v>
      </c>
      <c r="G296" s="1">
        <f t="shared" si="11"/>
        <v>2.3659998390433299</v>
      </c>
      <c r="I296" s="9">
        <v>0.36797360000000001</v>
      </c>
      <c r="J296" s="8">
        <v>8.5891979999999997</v>
      </c>
      <c r="P296" s="9">
        <v>0.37044322000000002</v>
      </c>
      <c r="Q296" s="8">
        <v>8.5846060000000008</v>
      </c>
    </row>
    <row r="297" spans="1:17" x14ac:dyDescent="0.3">
      <c r="A297">
        <v>0.38032169999999998</v>
      </c>
      <c r="B297">
        <v>9.9057549999999992</v>
      </c>
      <c r="C297">
        <f t="shared" si="10"/>
        <v>8.7266775779959076</v>
      </c>
      <c r="D297" s="3"/>
      <c r="E297" s="9">
        <v>4.2907776757938202E-3</v>
      </c>
      <c r="F297" s="8">
        <v>1.91868630688883</v>
      </c>
      <c r="G297" s="1">
        <f t="shared" si="11"/>
        <v>2.3799054068888301</v>
      </c>
      <c r="I297" s="9">
        <v>0.37044322000000002</v>
      </c>
      <c r="J297" s="8">
        <v>8.612717</v>
      </c>
      <c r="P297" s="9">
        <v>0.37291281999999998</v>
      </c>
      <c r="Q297" s="8">
        <v>8.6080699999999997</v>
      </c>
    </row>
    <row r="298" spans="1:17" x14ac:dyDescent="0.3">
      <c r="A298">
        <v>0.3827913</v>
      </c>
      <c r="B298">
        <v>9.929036</v>
      </c>
      <c r="C298">
        <f t="shared" si="10"/>
        <v>8.7499585779959084</v>
      </c>
      <c r="D298" s="3"/>
      <c r="E298" s="9">
        <v>4.4143132436050897E-3</v>
      </c>
      <c r="F298" s="8">
        <v>1.9326234396432</v>
      </c>
      <c r="G298" s="1">
        <f t="shared" si="11"/>
        <v>2.3938425396432002</v>
      </c>
      <c r="I298" s="9">
        <v>0.37291281999999998</v>
      </c>
      <c r="J298" s="8">
        <v>8.6361080000000001</v>
      </c>
      <c r="P298" s="9">
        <v>0.37538244999999998</v>
      </c>
      <c r="Q298" s="8">
        <v>8.6314030000000006</v>
      </c>
    </row>
    <row r="299" spans="1:17" x14ac:dyDescent="0.3">
      <c r="A299">
        <v>0.38526094</v>
      </c>
      <c r="B299">
        <v>9.9521979999999992</v>
      </c>
      <c r="C299">
        <f t="shared" si="10"/>
        <v>8.7731205779959076</v>
      </c>
      <c r="D299" s="3"/>
      <c r="E299" s="9">
        <v>4.5414046948897696E-3</v>
      </c>
      <c r="F299" s="8">
        <v>1.94659446805581</v>
      </c>
      <c r="G299" s="1">
        <f t="shared" si="11"/>
        <v>2.4078135680558099</v>
      </c>
      <c r="I299" s="9">
        <v>0.37538244999999998</v>
      </c>
      <c r="J299" s="8">
        <v>8.6593730000000004</v>
      </c>
      <c r="P299" s="9">
        <v>0.37785207999999998</v>
      </c>
      <c r="Q299" s="8">
        <v>8.6546059999999994</v>
      </c>
    </row>
    <row r="300" spans="1:17" x14ac:dyDescent="0.3">
      <c r="A300">
        <v>0.38773057</v>
      </c>
      <c r="B300">
        <v>9.9752430000000007</v>
      </c>
      <c r="C300">
        <f t="shared" si="10"/>
        <v>8.7961655779959091</v>
      </c>
      <c r="D300" s="3"/>
      <c r="E300" s="9">
        <v>4.6721543832250797E-3</v>
      </c>
      <c r="F300" s="8">
        <v>1.9606018437658901</v>
      </c>
      <c r="G300" s="1">
        <f t="shared" si="11"/>
        <v>2.4218209437658902</v>
      </c>
      <c r="I300" s="9">
        <v>0.37785207999999998</v>
      </c>
      <c r="J300" s="8">
        <v>8.6825150000000004</v>
      </c>
      <c r="P300" s="9">
        <v>0.38032169999999998</v>
      </c>
      <c r="Q300" s="8">
        <v>8.6776800000000005</v>
      </c>
    </row>
    <row r="301" spans="1:17" x14ac:dyDescent="0.3">
      <c r="A301">
        <v>0.3902002</v>
      </c>
      <c r="B301">
        <v>9.9981709999999993</v>
      </c>
      <c r="C301">
        <f t="shared" si="10"/>
        <v>8.8190935779959077</v>
      </c>
      <c r="D301" s="3"/>
      <c r="E301" s="9">
        <v>4.80666760836314E-3</v>
      </c>
      <c r="F301" s="8">
        <v>1.9746481403018801</v>
      </c>
      <c r="G301" s="1">
        <f t="shared" si="11"/>
        <v>2.4358672403018802</v>
      </c>
      <c r="I301" s="9">
        <v>0.38032169999999998</v>
      </c>
      <c r="J301" s="8">
        <v>8.7055340000000001</v>
      </c>
      <c r="P301" s="9">
        <v>0.3827913</v>
      </c>
      <c r="Q301" s="8">
        <v>8.7006270000000008</v>
      </c>
    </row>
    <row r="302" spans="1:17" x14ac:dyDescent="0.3">
      <c r="A302">
        <v>0.39266980000000001</v>
      </c>
      <c r="B302">
        <v>10.020986000000001</v>
      </c>
      <c r="C302">
        <f t="shared" si="10"/>
        <v>8.841908577995909</v>
      </c>
      <c r="D302" s="3"/>
      <c r="E302" s="9">
        <v>4.9450527010345699E-3</v>
      </c>
      <c r="F302" s="8">
        <v>1.98873605390756</v>
      </c>
      <c r="G302" s="1">
        <f t="shared" si="11"/>
        <v>2.4499551539075601</v>
      </c>
      <c r="I302" s="9">
        <v>0.3827913</v>
      </c>
      <c r="J302" s="8">
        <v>8.7284330000000008</v>
      </c>
      <c r="P302" s="9">
        <v>0.38526094</v>
      </c>
      <c r="Q302" s="8">
        <v>8.7234479999999994</v>
      </c>
    </row>
    <row r="303" spans="1:17" x14ac:dyDescent="0.3">
      <c r="A303">
        <v>0.39513943000000001</v>
      </c>
      <c r="B303">
        <v>10.043687</v>
      </c>
      <c r="C303">
        <f t="shared" si="10"/>
        <v>8.8646095779959087</v>
      </c>
      <c r="D303" s="3"/>
      <c r="E303" s="9">
        <v>5.0874211101930404E-3</v>
      </c>
      <c r="F303" s="8">
        <v>2.0028684041692402</v>
      </c>
      <c r="G303" s="1">
        <f t="shared" si="11"/>
        <v>2.4640875041692403</v>
      </c>
      <c r="I303" s="9">
        <v>0.38526094</v>
      </c>
      <c r="J303" s="8">
        <v>8.7512120000000007</v>
      </c>
      <c r="P303" s="9">
        <v>0.38773057</v>
      </c>
      <c r="Q303" s="8">
        <v>8.746143</v>
      </c>
    </row>
    <row r="304" spans="1:17" x14ac:dyDescent="0.3">
      <c r="A304">
        <v>0.39760906000000001</v>
      </c>
      <c r="B304">
        <v>10.066276999999999</v>
      </c>
      <c r="C304">
        <f t="shared" si="10"/>
        <v>8.8871995779959079</v>
      </c>
      <c r="D304" s="3"/>
      <c r="E304" s="9">
        <v>5.2338874927711004E-3</v>
      </c>
      <c r="F304" s="8">
        <v>2.0170481344142499</v>
      </c>
      <c r="G304" s="1">
        <f t="shared" si="11"/>
        <v>2.47826723441425</v>
      </c>
      <c r="I304" s="9">
        <v>0.38773057</v>
      </c>
      <c r="J304" s="8">
        <v>8.7738739999999993</v>
      </c>
      <c r="P304" s="9">
        <v>0.3902002</v>
      </c>
      <c r="Q304" s="8">
        <v>8.7687150000000003</v>
      </c>
    </row>
    <row r="305" spans="1:17" x14ac:dyDescent="0.3">
      <c r="A305">
        <v>0.40007868000000002</v>
      </c>
      <c r="B305">
        <v>10.088758</v>
      </c>
      <c r="C305">
        <f t="shared" si="10"/>
        <v>8.9096805779959087</v>
      </c>
      <c r="D305" s="3"/>
      <c r="E305" s="9">
        <v>5.3845698060195598E-3</v>
      </c>
      <c r="F305" s="8">
        <v>2.0312783118469402</v>
      </c>
      <c r="G305" s="1">
        <f t="shared" si="11"/>
        <v>2.4924974118469403</v>
      </c>
      <c r="I305" s="9">
        <v>0.3902002</v>
      </c>
      <c r="J305" s="8">
        <v>8.7964210000000005</v>
      </c>
      <c r="P305" s="9">
        <v>0.39266980000000001</v>
      </c>
      <c r="Q305" s="8">
        <v>8.7911649999999995</v>
      </c>
    </row>
    <row r="306" spans="1:17" x14ac:dyDescent="0.3">
      <c r="A306">
        <v>0.40254827999999998</v>
      </c>
      <c r="B306">
        <v>10.111132</v>
      </c>
      <c r="C306">
        <f t="shared" si="10"/>
        <v>8.932054577995908</v>
      </c>
      <c r="D306" s="3"/>
      <c r="E306" s="9">
        <v>5.53958940250483E-3</v>
      </c>
      <c r="F306" s="8">
        <v>2.0455621273862201</v>
      </c>
      <c r="G306" s="1">
        <f t="shared" si="11"/>
        <v>2.5067812273862202</v>
      </c>
      <c r="I306" s="9">
        <v>0.39266980000000001</v>
      </c>
      <c r="J306" s="8">
        <v>8.818854</v>
      </c>
      <c r="P306" s="9">
        <v>0.39513943000000001</v>
      </c>
      <c r="Q306" s="8">
        <v>8.8134949999999996</v>
      </c>
    </row>
    <row r="307" spans="1:17" x14ac:dyDescent="0.3">
      <c r="A307">
        <v>0.40501789999999999</v>
      </c>
      <c r="B307">
        <v>10.1334</v>
      </c>
      <c r="C307">
        <f t="shared" si="10"/>
        <v>8.9543225779959084</v>
      </c>
      <c r="D307" s="3"/>
      <c r="E307" s="9">
        <v>5.69907112784064E-3</v>
      </c>
      <c r="F307" s="8">
        <v>2.0599028951671201</v>
      </c>
      <c r="G307" s="1">
        <f t="shared" si="11"/>
        <v>2.5211219951671202</v>
      </c>
      <c r="I307" s="9">
        <v>0.39513943000000001</v>
      </c>
      <c r="J307" s="8">
        <v>8.8411650000000002</v>
      </c>
      <c r="P307" s="9">
        <v>0.39760906000000001</v>
      </c>
      <c r="Q307" s="8">
        <v>8.8357050000000008</v>
      </c>
    </row>
    <row r="308" spans="1:17" x14ac:dyDescent="0.3">
      <c r="A308">
        <v>0.40748753999999998</v>
      </c>
      <c r="B308">
        <v>10.155497</v>
      </c>
      <c r="C308">
        <f t="shared" si="10"/>
        <v>8.9764195779959088</v>
      </c>
      <c r="D308" s="3"/>
      <c r="E308" s="9">
        <v>5.8631434212329404E-3</v>
      </c>
      <c r="F308" s="8">
        <v>2.0743040516684199</v>
      </c>
      <c r="G308" s="1">
        <f t="shared" si="11"/>
        <v>2.53552315166842</v>
      </c>
      <c r="I308" s="9">
        <v>0.39760906000000001</v>
      </c>
      <c r="J308" s="8">
        <v>8.8632810000000006</v>
      </c>
      <c r="P308" s="9">
        <v>0.40007868000000002</v>
      </c>
      <c r="Q308" s="8">
        <v>8.8577969999999997</v>
      </c>
    </row>
    <row r="309" spans="1:17" x14ac:dyDescent="0.3">
      <c r="A309">
        <v>0.40995716999999998</v>
      </c>
      <c r="B309">
        <v>10.177443</v>
      </c>
      <c r="C309">
        <f t="shared" si="10"/>
        <v>8.9983655779959086</v>
      </c>
      <c r="D309" s="3"/>
      <c r="E309" s="9">
        <v>6.0319384189188802E-3</v>
      </c>
      <c r="F309" s="8">
        <v>2.08876915443033</v>
      </c>
      <c r="G309" s="1">
        <f t="shared" si="11"/>
        <v>2.5499882544303301</v>
      </c>
      <c r="I309" s="9">
        <v>0.40007868000000002</v>
      </c>
      <c r="J309" s="8">
        <v>8.8852770000000003</v>
      </c>
      <c r="P309" s="9">
        <v>0.40254827999999998</v>
      </c>
      <c r="Q309" s="8">
        <v>8.8797720000000009</v>
      </c>
    </row>
    <row r="310" spans="1:17" x14ac:dyDescent="0.3">
      <c r="A310">
        <v>0.41242677</v>
      </c>
      <c r="B310">
        <v>10.199273</v>
      </c>
      <c r="C310">
        <f t="shared" si="10"/>
        <v>9.0201955779959082</v>
      </c>
      <c r="D310" s="3"/>
      <c r="E310" s="9">
        <v>6.20559206058326E-3</v>
      </c>
      <c r="F310" s="8">
        <v>2.1033018803288601</v>
      </c>
      <c r="G310" s="1">
        <f t="shared" si="11"/>
        <v>2.5645209803288602</v>
      </c>
      <c r="I310" s="9">
        <v>0.40254827999999998</v>
      </c>
      <c r="J310" s="8">
        <v>8.907152</v>
      </c>
      <c r="P310" s="9">
        <v>0.40501789999999999</v>
      </c>
      <c r="Q310" s="8">
        <v>8.9016310000000001</v>
      </c>
    </row>
    <row r="311" spans="1:17" x14ac:dyDescent="0.3">
      <c r="A311">
        <v>0.4148964</v>
      </c>
      <c r="B311">
        <v>10.22099</v>
      </c>
      <c r="C311">
        <f t="shared" si="10"/>
        <v>9.0419125779959089</v>
      </c>
      <c r="D311" s="3"/>
      <c r="E311" s="9">
        <v>6.3842441988379997E-3</v>
      </c>
      <c r="F311" s="8">
        <v>2.1179060233785698</v>
      </c>
      <c r="G311" s="1">
        <f t="shared" si="11"/>
        <v>2.5791251233785699</v>
      </c>
      <c r="I311" s="9">
        <v>0.40501789999999999</v>
      </c>
      <c r="J311" s="8">
        <v>8.9289100000000001</v>
      </c>
      <c r="P311" s="9">
        <v>0.40748753999999998</v>
      </c>
      <c r="Q311" s="8">
        <v>8.9233779999999996</v>
      </c>
    </row>
    <row r="312" spans="1:17" x14ac:dyDescent="0.3">
      <c r="A312">
        <v>0.41736603</v>
      </c>
      <c r="B312">
        <v>10.242594</v>
      </c>
      <c r="C312">
        <f t="shared" si="10"/>
        <v>9.0635165779959088</v>
      </c>
      <c r="D312" s="3"/>
      <c r="E312" s="9">
        <v>6.5680387118530401E-3</v>
      </c>
      <c r="F312" s="8">
        <v>2.1325854920415699</v>
      </c>
      <c r="G312" s="1">
        <f t="shared" si="11"/>
        <v>2.59380459204157</v>
      </c>
      <c r="I312" s="9">
        <v>0.40748753999999998</v>
      </c>
      <c r="J312" s="8">
        <v>8.9505499999999998</v>
      </c>
      <c r="P312" s="9">
        <v>0.40995716999999998</v>
      </c>
      <c r="Q312" s="8">
        <v>8.9450099999999999</v>
      </c>
    </row>
    <row r="313" spans="1:17" x14ac:dyDescent="0.3">
      <c r="A313">
        <v>0.41983566</v>
      </c>
      <c r="B313">
        <v>10.264086000000001</v>
      </c>
      <c r="C313">
        <f t="shared" si="10"/>
        <v>9.0850085779959091</v>
      </c>
      <c r="D313" s="3"/>
      <c r="E313" s="9">
        <v>6.7571236192291101E-3</v>
      </c>
      <c r="F313" s="8">
        <v>2.14734430602853</v>
      </c>
      <c r="G313" s="1">
        <f t="shared" si="11"/>
        <v>2.6085634060285301</v>
      </c>
      <c r="I313" s="9">
        <v>0.40995716999999998</v>
      </c>
      <c r="J313" s="8">
        <v>8.9720744999999997</v>
      </c>
      <c r="P313" s="9">
        <v>0.41242677</v>
      </c>
      <c r="Q313" s="8">
        <v>8.9665330000000001</v>
      </c>
    </row>
    <row r="314" spans="1:17" x14ac:dyDescent="0.3">
      <c r="A314">
        <v>0.42230526000000002</v>
      </c>
      <c r="B314">
        <v>10.285467000000001</v>
      </c>
      <c r="C314">
        <f t="shared" si="10"/>
        <v>9.106389577995909</v>
      </c>
      <c r="D314" s="3"/>
      <c r="E314" s="9">
        <v>6.9516512012059101E-3</v>
      </c>
      <c r="F314" s="8">
        <v>2.1621865925911301</v>
      </c>
      <c r="G314" s="1">
        <f t="shared" si="11"/>
        <v>2.6234056925911302</v>
      </c>
      <c r="I314" s="9">
        <v>0.41242677</v>
      </c>
      <c r="J314" s="8">
        <v>8.9934844999999992</v>
      </c>
      <c r="P314" s="9">
        <v>0.4148964</v>
      </c>
      <c r="Q314" s="8">
        <v>8.9879379999999998</v>
      </c>
    </row>
    <row r="315" spans="1:17" x14ac:dyDescent="0.3">
      <c r="A315">
        <v>0.42477490000000001</v>
      </c>
      <c r="B315">
        <v>10.306739</v>
      </c>
      <c r="C315">
        <f t="shared" si="10"/>
        <v>9.1276615779959087</v>
      </c>
      <c r="D315" s="3"/>
      <c r="E315" s="9">
        <v>7.1517781213015297E-3</v>
      </c>
      <c r="F315" s="8">
        <v>2.1771165823058101</v>
      </c>
      <c r="G315" s="1">
        <f t="shared" si="11"/>
        <v>2.6383356823058102</v>
      </c>
      <c r="I315" s="9">
        <v>0.4148964</v>
      </c>
      <c r="J315" s="8">
        <v>9.01478</v>
      </c>
      <c r="P315" s="9">
        <v>0.41736603</v>
      </c>
      <c r="Q315" s="8">
        <v>9.0091979999999996</v>
      </c>
    </row>
    <row r="316" spans="1:17" x14ac:dyDescent="0.3">
      <c r="A316">
        <v>0.42724450000000003</v>
      </c>
      <c r="B316">
        <v>10.327902999999999</v>
      </c>
      <c r="C316">
        <f t="shared" si="10"/>
        <v>9.1488255779959076</v>
      </c>
      <c r="D316" s="3"/>
      <c r="E316" s="9">
        <v>7.3576655524820499E-3</v>
      </c>
      <c r="F316" s="8">
        <v>2.1921386043762299</v>
      </c>
      <c r="G316" s="1">
        <f t="shared" si="11"/>
        <v>2.65335770437623</v>
      </c>
      <c r="I316" s="9">
        <v>0.41736603</v>
      </c>
      <c r="J316" s="8">
        <v>9.0359639999999999</v>
      </c>
      <c r="P316" s="9">
        <v>0.41983566</v>
      </c>
      <c r="Q316" s="8">
        <v>9.0303450000000005</v>
      </c>
    </row>
    <row r="317" spans="1:17" x14ac:dyDescent="0.3">
      <c r="A317">
        <v>0.42971414000000002</v>
      </c>
      <c r="B317">
        <v>10.348959000000001</v>
      </c>
      <c r="C317">
        <f t="shared" si="10"/>
        <v>9.1698815779959091</v>
      </c>
      <c r="D317" s="3"/>
      <c r="E317" s="9">
        <v>7.56947930696273E-3</v>
      </c>
      <c r="F317" s="8">
        <v>2.2072570814847201</v>
      </c>
      <c r="G317" s="1">
        <f t="shared" si="11"/>
        <v>2.6684761814847202</v>
      </c>
      <c r="I317" s="9">
        <v>0.41983566</v>
      </c>
      <c r="J317" s="8">
        <v>9.0570350000000008</v>
      </c>
      <c r="P317" s="9">
        <v>0.42230526000000002</v>
      </c>
      <c r="Q317" s="8">
        <v>9.0513790000000007</v>
      </c>
    </row>
    <row r="318" spans="1:17" x14ac:dyDescent="0.3">
      <c r="A318">
        <v>0.43218373999999998</v>
      </c>
      <c r="B318">
        <v>10.369908000000001</v>
      </c>
      <c r="C318">
        <f t="shared" si="10"/>
        <v>9.190830577995909</v>
      </c>
      <c r="D318" s="3"/>
      <c r="E318" s="9">
        <v>7.7873899697455898E-3</v>
      </c>
      <c r="F318" s="8">
        <v>2.22247652423974</v>
      </c>
      <c r="G318" s="1">
        <f t="shared" si="11"/>
        <v>2.6836956242397401</v>
      </c>
      <c r="I318" s="9">
        <v>0.42230526000000002</v>
      </c>
      <c r="J318" s="8">
        <v>9.0779979999999991</v>
      </c>
      <c r="P318" s="9">
        <v>0.42477490000000001</v>
      </c>
      <c r="Q318" s="8">
        <v>9.0723020000000005</v>
      </c>
    </row>
    <row r="319" spans="1:17" x14ac:dyDescent="0.3">
      <c r="A319">
        <v>0.43465336999999998</v>
      </c>
      <c r="B319">
        <v>10.390753999999999</v>
      </c>
      <c r="C319">
        <f t="shared" si="10"/>
        <v>9.2116765779959078</v>
      </c>
      <c r="D319" s="3"/>
      <c r="E319" s="9">
        <v>8.0115730360005803E-3</v>
      </c>
      <c r="F319" s="8">
        <v>2.2378015252821402</v>
      </c>
      <c r="G319" s="1">
        <f t="shared" si="11"/>
        <v>2.6990206252821403</v>
      </c>
      <c r="I319" s="9">
        <v>0.42477490000000001</v>
      </c>
      <c r="J319" s="8">
        <v>9.0988509999999998</v>
      </c>
      <c r="P319" s="9">
        <v>0.42724450000000003</v>
      </c>
      <c r="Q319" s="8">
        <v>9.0931149999999992</v>
      </c>
    </row>
    <row r="320" spans="1:17" x14ac:dyDescent="0.3">
      <c r="A320">
        <v>0.43712299999999998</v>
      </c>
      <c r="B320">
        <v>10.411493999999999</v>
      </c>
      <c r="C320">
        <f t="shared" si="10"/>
        <v>9.2324165779959078</v>
      </c>
      <c r="D320" s="3"/>
      <c r="E320" s="9">
        <v>8.2422090524013596E-3</v>
      </c>
      <c r="F320" s="8">
        <v>2.2532367531264899</v>
      </c>
      <c r="G320" s="1">
        <f t="shared" si="11"/>
        <v>2.71445585312649</v>
      </c>
      <c r="I320" s="9">
        <v>0.42724450000000003</v>
      </c>
      <c r="J320" s="8">
        <v>9.1195970000000006</v>
      </c>
      <c r="P320" s="9">
        <v>0.42971414000000002</v>
      </c>
      <c r="Q320" s="8">
        <v>9.1138180000000002</v>
      </c>
    </row>
    <row r="321" spans="1:17" x14ac:dyDescent="0.3">
      <c r="A321">
        <v>0.43959262999999998</v>
      </c>
      <c r="B321">
        <v>10.432131999999999</v>
      </c>
      <c r="C321">
        <f t="shared" si="10"/>
        <v>9.2530545779959077</v>
      </c>
      <c r="D321" s="3"/>
      <c r="E321" s="9">
        <v>8.4794837625291799E-3</v>
      </c>
      <c r="F321" s="8">
        <v>2.2687869458278902</v>
      </c>
      <c r="G321" s="1">
        <f t="shared" si="11"/>
        <v>2.7300060458278903</v>
      </c>
      <c r="I321" s="9">
        <v>0.42971414000000002</v>
      </c>
      <c r="J321" s="8">
        <v>9.1402370000000008</v>
      </c>
      <c r="P321" s="9">
        <v>0.43218373999999998</v>
      </c>
      <c r="Q321" s="8">
        <v>9.1344130000000003</v>
      </c>
    </row>
    <row r="322" spans="1:17" x14ac:dyDescent="0.3">
      <c r="A322">
        <v>0.44206223</v>
      </c>
      <c r="B322">
        <v>10.452667999999999</v>
      </c>
      <c r="C322">
        <f t="shared" si="10"/>
        <v>9.2735905779959076</v>
      </c>
      <c r="D322" s="3"/>
      <c r="E322" s="9">
        <v>8.7235882564622204E-3</v>
      </c>
      <c r="F322" s="8">
        <v>2.2844569045775298</v>
      </c>
      <c r="G322" s="1">
        <f t="shared" si="11"/>
        <v>2.7456760045775299</v>
      </c>
      <c r="I322" s="9">
        <v>0.43218373999999998</v>
      </c>
      <c r="J322" s="8">
        <v>9.1607699999999994</v>
      </c>
      <c r="P322" s="9">
        <v>0.43465336999999998</v>
      </c>
      <c r="Q322" s="8">
        <v>9.1549010000000006</v>
      </c>
    </row>
    <row r="323" spans="1:17" x14ac:dyDescent="0.3">
      <c r="A323">
        <v>0.44453186</v>
      </c>
      <c r="B323">
        <v>10.473103999999999</v>
      </c>
      <c r="C323">
        <f t="shared" si="10"/>
        <v>9.2940265779959077</v>
      </c>
      <c r="D323" s="3"/>
      <c r="E323" s="9">
        <v>8.9747191246706392E-3</v>
      </c>
      <c r="F323" s="8">
        <v>2.3002514873419999</v>
      </c>
      <c r="G323" s="1">
        <f t="shared" si="11"/>
        <v>2.761470587342</v>
      </c>
      <c r="I323" s="9">
        <v>0.43465336999999998</v>
      </c>
      <c r="J323" s="8">
        <v>9.1812000000000005</v>
      </c>
      <c r="P323" s="9">
        <v>0.43712299999999998</v>
      </c>
      <c r="Q323" s="8">
        <v>9.1752824999999998</v>
      </c>
    </row>
    <row r="324" spans="1:17" x14ac:dyDescent="0.3">
      <c r="A324">
        <v>0.4470015</v>
      </c>
      <c r="B324">
        <v>10.49344</v>
      </c>
      <c r="C324">
        <f t="shared" ref="C324:C387" si="12">B324-2*PI()*1.68*(0.1187-0.007)</f>
        <v>9.3143625779959081</v>
      </c>
      <c r="D324" s="3"/>
      <c r="E324" s="9">
        <v>9.23307861634152E-3</v>
      </c>
      <c r="F324" s="8">
        <v>2.3161756026706701</v>
      </c>
      <c r="G324" s="1">
        <f t="shared" ref="G324:G387" si="13">$B$3+F324</f>
        <v>2.7773947026706702</v>
      </c>
      <c r="I324" s="9">
        <v>0.43712299999999998</v>
      </c>
      <c r="J324" s="8">
        <v>9.2015279999999997</v>
      </c>
      <c r="P324" s="9">
        <v>0.43959262999999998</v>
      </c>
      <c r="Q324" s="8">
        <v>9.1955589999999994</v>
      </c>
    </row>
    <row r="325" spans="1:17" x14ac:dyDescent="0.3">
      <c r="A325">
        <v>0.44947112</v>
      </c>
      <c r="B325">
        <v>10.513676999999999</v>
      </c>
      <c r="C325">
        <f t="shared" si="12"/>
        <v>9.3345995779959079</v>
      </c>
      <c r="D325" s="3"/>
      <c r="E325" s="9">
        <v>9.49887480226096E-3</v>
      </c>
      <c r="F325" s="8">
        <v>2.33223420380354</v>
      </c>
      <c r="G325" s="1">
        <f t="shared" si="13"/>
        <v>2.7934533038035401</v>
      </c>
      <c r="I325" s="9">
        <v>0.43959262999999998</v>
      </c>
      <c r="J325" s="8">
        <v>9.2217520000000004</v>
      </c>
      <c r="P325" s="9">
        <v>0.44206223</v>
      </c>
      <c r="Q325" s="8">
        <v>9.2157319999999991</v>
      </c>
    </row>
    <row r="326" spans="1:17" x14ac:dyDescent="0.3">
      <c r="A326">
        <v>0.45194072000000002</v>
      </c>
      <c r="B326">
        <v>10.533816</v>
      </c>
      <c r="C326">
        <f t="shared" si="12"/>
        <v>9.3547385779959082</v>
      </c>
      <c r="D326" s="3"/>
      <c r="E326" s="9">
        <v>9.7723217423846803E-3</v>
      </c>
      <c r="F326" s="8">
        <v>2.3484322832165501</v>
      </c>
      <c r="G326" s="1">
        <f t="shared" si="13"/>
        <v>2.8096513832165502</v>
      </c>
      <c r="I326" s="9">
        <v>0.44206223</v>
      </c>
      <c r="J326" s="8">
        <v>9.2418770000000006</v>
      </c>
      <c r="P326" s="9">
        <v>0.44453186</v>
      </c>
      <c r="Q326" s="8">
        <v>9.2358010000000004</v>
      </c>
    </row>
    <row r="327" spans="1:17" x14ac:dyDescent="0.3">
      <c r="A327">
        <v>0.45441034000000002</v>
      </c>
      <c r="B327">
        <v>10.553860999999999</v>
      </c>
      <c r="C327">
        <f t="shared" si="12"/>
        <v>9.3747835779959079</v>
      </c>
      <c r="D327" s="3"/>
      <c r="E327" s="9">
        <v>1.0053639658232E-2</v>
      </c>
      <c r="F327" s="8">
        <v>2.36477486774359</v>
      </c>
      <c r="G327" s="1">
        <f t="shared" si="13"/>
        <v>2.8259939677435901</v>
      </c>
      <c r="I327" s="9">
        <v>0.44453186</v>
      </c>
      <c r="J327" s="8">
        <v>9.2619019999999992</v>
      </c>
      <c r="P327" s="9">
        <v>0.4470015</v>
      </c>
      <c r="Q327" s="8">
        <v>9.2557679999999998</v>
      </c>
    </row>
    <row r="328" spans="1:17" x14ac:dyDescent="0.3">
      <c r="A328">
        <v>0.45687997000000002</v>
      </c>
      <c r="B328">
        <v>10.573809000000001</v>
      </c>
      <c r="C328">
        <f t="shared" si="12"/>
        <v>9.3947315779959091</v>
      </c>
      <c r="D328" s="3"/>
      <c r="E328" s="9">
        <v>1.0343055110242E-2</v>
      </c>
      <c r="F328" s="8">
        <v>2.38126701441379</v>
      </c>
      <c r="G328" s="1">
        <f t="shared" si="13"/>
        <v>2.8424861144137901</v>
      </c>
      <c r="I328" s="9">
        <v>0.4470015</v>
      </c>
      <c r="J328" s="8">
        <v>9.2818299999999994</v>
      </c>
      <c r="P328" s="9">
        <v>0.44947112</v>
      </c>
      <c r="Q328" s="8">
        <v>9.2756349999999994</v>
      </c>
    </row>
    <row r="329" spans="1:17" x14ac:dyDescent="0.3">
      <c r="A329">
        <v>0.45934956999999998</v>
      </c>
      <c r="B329">
        <v>10.593662999999999</v>
      </c>
      <c r="C329">
        <f t="shared" si="12"/>
        <v>9.4145855779959078</v>
      </c>
      <c r="D329" s="3"/>
      <c r="E329" s="9">
        <v>1.06408011802352E-2</v>
      </c>
      <c r="F329" s="8">
        <v>2.3979138071386799</v>
      </c>
      <c r="G329" s="1">
        <f t="shared" si="13"/>
        <v>2.85913290713868</v>
      </c>
      <c r="I329" s="9">
        <v>0.44947112</v>
      </c>
      <c r="J329" s="8">
        <v>9.30166</v>
      </c>
      <c r="P329" s="9">
        <v>0.45194072000000002</v>
      </c>
      <c r="Q329" s="8">
        <v>9.295401</v>
      </c>
    </row>
    <row r="330" spans="1:17" x14ac:dyDescent="0.3">
      <c r="A330">
        <v>0.46181919999999999</v>
      </c>
      <c r="B330">
        <v>10.613407</v>
      </c>
      <c r="C330">
        <f t="shared" si="12"/>
        <v>9.4343295779959089</v>
      </c>
      <c r="D330" s="3"/>
      <c r="E330" s="9">
        <v>1.09471176591261E-2</v>
      </c>
      <c r="F330" s="8">
        <v>2.4147203543766702</v>
      </c>
      <c r="G330" s="1">
        <f t="shared" si="13"/>
        <v>2.8759394543766703</v>
      </c>
      <c r="I330" s="9">
        <v>0.45194072000000002</v>
      </c>
      <c r="J330" s="8">
        <v>9.3213869999999996</v>
      </c>
      <c r="P330" s="9">
        <v>0.45441034000000002</v>
      </c>
      <c r="Q330" s="8">
        <v>9.3150680000000001</v>
      </c>
    </row>
    <row r="331" spans="1:17" x14ac:dyDescent="0.3">
      <c r="A331">
        <v>0.46428882999999999</v>
      </c>
      <c r="B331">
        <v>10.633015</v>
      </c>
      <c r="C331">
        <f t="shared" si="12"/>
        <v>9.4539375779959087</v>
      </c>
      <c r="D331" s="3"/>
      <c r="E331" s="9">
        <v>1.1262251240040599E-2</v>
      </c>
      <c r="F331" s="8">
        <v>2.4316917878926398</v>
      </c>
      <c r="G331" s="1">
        <f t="shared" si="13"/>
        <v>2.8929108878926399</v>
      </c>
      <c r="I331" s="9">
        <v>0.45441034000000002</v>
      </c>
      <c r="J331" s="8">
        <v>9.3409700000000004</v>
      </c>
      <c r="P331" s="9">
        <v>0.45687997000000002</v>
      </c>
      <c r="Q331" s="8">
        <v>9.3346389999999992</v>
      </c>
    </row>
    <row r="332" spans="1:17" x14ac:dyDescent="0.3">
      <c r="A332">
        <v>0.46675845999999999</v>
      </c>
      <c r="B332">
        <v>10.652524</v>
      </c>
      <c r="C332">
        <f t="shared" si="12"/>
        <v>9.4734465779959081</v>
      </c>
      <c r="D332" s="3"/>
      <c r="E332" s="9">
        <v>1.1586455716990501E-2</v>
      </c>
      <c r="F332" s="8">
        <v>2.4488332627171898</v>
      </c>
      <c r="G332" s="1">
        <f t="shared" si="13"/>
        <v>2.9100523627171899</v>
      </c>
      <c r="I332" s="9">
        <v>0.45687997000000002</v>
      </c>
      <c r="J332" s="8">
        <v>9.3604529999999997</v>
      </c>
      <c r="P332" s="9">
        <v>0.45934956999999998</v>
      </c>
      <c r="Q332" s="8">
        <v>9.3541109999999996</v>
      </c>
    </row>
    <row r="333" spans="1:17" x14ac:dyDescent="0.3">
      <c r="A333">
        <v>0.46922806</v>
      </c>
      <c r="B333">
        <v>10.671935</v>
      </c>
      <c r="C333">
        <f t="shared" si="12"/>
        <v>9.4928575779959079</v>
      </c>
      <c r="D333" s="3"/>
      <c r="E333" s="9">
        <v>1.1919992189267901E-2</v>
      </c>
      <c r="F333" s="8">
        <v>2.46614995839525</v>
      </c>
      <c r="G333" s="1">
        <f t="shared" si="13"/>
        <v>2.9273690583952501</v>
      </c>
      <c r="I333" s="9">
        <v>0.45934956999999998</v>
      </c>
      <c r="J333" s="8">
        <v>9.3798349999999999</v>
      </c>
      <c r="P333" s="9">
        <v>0.46181919999999999</v>
      </c>
      <c r="Q333" s="8">
        <v>9.373488</v>
      </c>
    </row>
    <row r="334" spans="1:17" x14ac:dyDescent="0.3">
      <c r="A334">
        <v>0.4716977</v>
      </c>
      <c r="B334">
        <v>10.69125</v>
      </c>
      <c r="C334">
        <f t="shared" si="12"/>
        <v>9.5121725779959085</v>
      </c>
      <c r="D334" s="3"/>
      <c r="E334" s="9">
        <v>1.22631292717223E-2</v>
      </c>
      <c r="F334" s="8">
        <v>2.4836470815956</v>
      </c>
      <c r="G334" s="1">
        <f t="shared" si="13"/>
        <v>2.9448661815956001</v>
      </c>
      <c r="I334" s="9">
        <v>0.46181919999999999</v>
      </c>
      <c r="J334" s="8">
        <v>9.3991190000000007</v>
      </c>
      <c r="P334" s="9">
        <v>0.46428882999999999</v>
      </c>
      <c r="Q334" s="8">
        <v>9.3927639999999997</v>
      </c>
    </row>
    <row r="335" spans="1:17" x14ac:dyDescent="0.3">
      <c r="A335">
        <v>0.47416732</v>
      </c>
      <c r="B335">
        <v>10.710467</v>
      </c>
      <c r="C335">
        <f t="shared" si="12"/>
        <v>9.5313895779959079</v>
      </c>
      <c r="D335" s="3"/>
      <c r="E335" s="9">
        <v>1.26161433110908E-2</v>
      </c>
      <c r="F335" s="8">
        <v>2.5013298701343998</v>
      </c>
      <c r="G335" s="1">
        <f t="shared" si="13"/>
        <v>2.9625489701343999</v>
      </c>
      <c r="I335" s="9">
        <v>0.46428882999999999</v>
      </c>
      <c r="J335" s="8">
        <v>9.4183050000000001</v>
      </c>
      <c r="P335" s="9">
        <v>0.46675845999999999</v>
      </c>
      <c r="Q335" s="8">
        <v>9.4119320000000002</v>
      </c>
    </row>
    <row r="336" spans="1:17" x14ac:dyDescent="0.3">
      <c r="A336">
        <v>0.47663695</v>
      </c>
      <c r="B336">
        <v>10.729589000000001</v>
      </c>
      <c r="C336">
        <f t="shared" si="12"/>
        <v>9.5505115779959091</v>
      </c>
      <c r="D336" s="3"/>
      <c r="E336" s="9">
        <v>1.29793186085545E-2</v>
      </c>
      <c r="F336" s="8">
        <v>2.5192035984444798</v>
      </c>
      <c r="G336" s="1">
        <f t="shared" si="13"/>
        <v>2.9804226984444799</v>
      </c>
      <c r="I336" s="9">
        <v>0.46675845999999999</v>
      </c>
      <c r="J336" s="8">
        <v>9.4373939999999994</v>
      </c>
      <c r="P336" s="9">
        <v>0.46922806</v>
      </c>
      <c r="Q336" s="8">
        <v>9.4310050000000007</v>
      </c>
    </row>
    <row r="337" spans="1:17" x14ac:dyDescent="0.3">
      <c r="A337">
        <v>0.47910655000000002</v>
      </c>
      <c r="B337">
        <v>10.748616999999999</v>
      </c>
      <c r="C337">
        <f t="shared" si="12"/>
        <v>9.5695395779959078</v>
      </c>
      <c r="D337" s="3"/>
      <c r="E337" s="9">
        <v>1.3352947648702099E-2</v>
      </c>
      <c r="F337" s="8">
        <v>2.5372735845013099</v>
      </c>
      <c r="G337" s="1">
        <f t="shared" si="13"/>
        <v>2.99849268450131</v>
      </c>
      <c r="I337" s="9">
        <v>0.46922806</v>
      </c>
      <c r="J337" s="8">
        <v>9.4563874999999999</v>
      </c>
      <c r="P337" s="9">
        <v>0.4716977</v>
      </c>
      <c r="Q337" s="8">
        <v>9.4499820000000003</v>
      </c>
    </row>
    <row r="338" spans="1:17" x14ac:dyDescent="0.3">
      <c r="A338">
        <v>0.48157617000000003</v>
      </c>
      <c r="B338">
        <v>10.76755</v>
      </c>
      <c r="C338">
        <f t="shared" si="12"/>
        <v>9.5884725779959084</v>
      </c>
      <c r="D338" s="3"/>
      <c r="E338" s="9">
        <v>1.37373313350831E-2</v>
      </c>
      <c r="F338" s="8">
        <v>2.5555451981948698</v>
      </c>
      <c r="G338" s="1">
        <f t="shared" si="13"/>
        <v>3.0167642981948699</v>
      </c>
      <c r="I338" s="9">
        <v>0.4716977</v>
      </c>
      <c r="J338" s="8">
        <v>9.4752849999999995</v>
      </c>
      <c r="P338" s="9">
        <v>0.47416732</v>
      </c>
      <c r="Q338" s="8">
        <v>9.4688634999999994</v>
      </c>
    </row>
    <row r="339" spans="1:17" x14ac:dyDescent="0.3">
      <c r="A339">
        <v>0.48404580000000003</v>
      </c>
      <c r="B339">
        <v>10.786391</v>
      </c>
      <c r="C339">
        <f t="shared" si="12"/>
        <v>9.6073135779959085</v>
      </c>
      <c r="D339" s="3"/>
      <c r="E339" s="9">
        <v>1.4132779232541699E-2</v>
      </c>
      <c r="F339" s="8">
        <v>2.5740238711146302</v>
      </c>
      <c r="G339" s="1">
        <f t="shared" si="13"/>
        <v>3.0352429711146303</v>
      </c>
      <c r="I339" s="9">
        <v>0.47416732</v>
      </c>
      <c r="J339" s="8">
        <v>9.4940879999999996</v>
      </c>
      <c r="P339" s="9">
        <v>0.47663695</v>
      </c>
      <c r="Q339" s="8">
        <v>9.4876520000000006</v>
      </c>
    </row>
    <row r="340" spans="1:17" x14ac:dyDescent="0.3">
      <c r="A340">
        <v>0.48651543000000003</v>
      </c>
      <c r="B340">
        <v>10.805139</v>
      </c>
      <c r="C340">
        <f t="shared" si="12"/>
        <v>9.6260615779959089</v>
      </c>
      <c r="D340" s="3"/>
      <c r="E340" s="9">
        <v>1.4539609816526E-2</v>
      </c>
      <c r="F340" s="8">
        <v>2.5927151076950601</v>
      </c>
      <c r="G340" s="1">
        <f t="shared" si="13"/>
        <v>3.0539342076950602</v>
      </c>
      <c r="I340" s="9">
        <v>0.47663695</v>
      </c>
      <c r="J340" s="8">
        <v>9.5127980000000001</v>
      </c>
      <c r="P340" s="9">
        <v>0.47910655000000002</v>
      </c>
      <c r="Q340" s="8">
        <v>9.5063469999999999</v>
      </c>
    </row>
    <row r="341" spans="1:17" x14ac:dyDescent="0.3">
      <c r="A341">
        <v>0.48898502999999999</v>
      </c>
      <c r="B341">
        <v>10.823795</v>
      </c>
      <c r="C341">
        <f t="shared" si="12"/>
        <v>9.6447175779959089</v>
      </c>
      <c r="D341" s="3"/>
      <c r="E341" s="9">
        <v>1.49581507295735E-2</v>
      </c>
      <c r="F341" s="8">
        <v>2.6116244976477501</v>
      </c>
      <c r="G341" s="1">
        <f t="shared" si="13"/>
        <v>3.0728435976477502</v>
      </c>
      <c r="I341" s="9">
        <v>0.47910655000000002</v>
      </c>
      <c r="J341" s="8">
        <v>9.5314150000000009</v>
      </c>
      <c r="P341" s="9">
        <v>0.48157617000000003</v>
      </c>
      <c r="Q341" s="8">
        <v>9.5249489999999994</v>
      </c>
    </row>
    <row r="342" spans="1:17" x14ac:dyDescent="0.3">
      <c r="A342">
        <v>0.49145465999999999</v>
      </c>
      <c r="B342">
        <v>10.8423605</v>
      </c>
      <c r="C342">
        <f t="shared" si="12"/>
        <v>9.6632830779959082</v>
      </c>
      <c r="D342" s="3"/>
      <c r="E342" s="9">
        <v>1.5388739045179E-2</v>
      </c>
      <c r="F342" s="8">
        <v>2.6307577295892699</v>
      </c>
      <c r="G342" s="1">
        <f t="shared" si="13"/>
        <v>3.09197682958927</v>
      </c>
      <c r="I342" s="9">
        <v>0.48157617000000003</v>
      </c>
      <c r="J342" s="8">
        <v>9.5499410000000005</v>
      </c>
      <c r="P342" s="9">
        <v>0.48404580000000003</v>
      </c>
      <c r="Q342" s="8">
        <v>9.5434599999999996</v>
      </c>
    </row>
    <row r="343" spans="1:17" x14ac:dyDescent="0.3">
      <c r="A343">
        <v>0.49392429999999998</v>
      </c>
      <c r="B343">
        <v>10.860835</v>
      </c>
      <c r="C343">
        <f t="shared" si="12"/>
        <v>9.6817575779959082</v>
      </c>
      <c r="D343" s="3"/>
      <c r="E343" s="9">
        <v>1.5831721539258201E-2</v>
      </c>
      <c r="F343" s="8">
        <v>2.65012060575557</v>
      </c>
      <c r="G343" s="1">
        <f t="shared" si="13"/>
        <v>3.1113397057555701</v>
      </c>
      <c r="I343" s="9">
        <v>0.48404580000000003</v>
      </c>
      <c r="J343" s="8">
        <v>9.5683760000000007</v>
      </c>
      <c r="P343" s="9">
        <v>0.48651543000000003</v>
      </c>
      <c r="Q343" s="8">
        <v>9.5618789999999994</v>
      </c>
    </row>
    <row r="344" spans="1:17" x14ac:dyDescent="0.3">
      <c r="A344">
        <v>0.49639391999999999</v>
      </c>
      <c r="B344">
        <v>10.879220999999999</v>
      </c>
      <c r="C344">
        <f t="shared" si="12"/>
        <v>9.7001435779959078</v>
      </c>
      <c r="D344" s="3"/>
      <c r="E344" s="9">
        <v>1.62874549694252E-2</v>
      </c>
      <c r="F344" s="8">
        <v>2.6697190576795</v>
      </c>
      <c r="G344" s="1">
        <f t="shared" si="13"/>
        <v>3.1309381576795001</v>
      </c>
      <c r="I344" s="9">
        <v>0.48651543000000003</v>
      </c>
      <c r="J344" s="8">
        <v>9.5867199999999997</v>
      </c>
      <c r="P344" s="9">
        <v>0.48898502999999999</v>
      </c>
      <c r="Q344" s="8">
        <v>9.5802080000000007</v>
      </c>
    </row>
    <row r="345" spans="1:17" x14ac:dyDescent="0.3">
      <c r="A345">
        <v>0.49886352</v>
      </c>
      <c r="B345">
        <v>10.897518</v>
      </c>
      <c r="C345">
        <f t="shared" si="12"/>
        <v>9.7184405779959082</v>
      </c>
      <c r="D345" s="3"/>
      <c r="E345" s="9">
        <v>1.67563063623078E-2</v>
      </c>
      <c r="F345" s="8">
        <v>2.6895591626941702</v>
      </c>
      <c r="G345" s="1">
        <f t="shared" si="13"/>
        <v>3.1507782626941703</v>
      </c>
      <c r="I345" s="9">
        <v>0.48898502999999999</v>
      </c>
      <c r="J345" s="8">
        <v>9.6049769999999999</v>
      </c>
      <c r="P345" s="9">
        <v>0.49145465999999999</v>
      </c>
      <c r="Q345" s="8">
        <v>9.5984479999999994</v>
      </c>
    </row>
    <row r="346" spans="1:17" x14ac:dyDescent="0.3">
      <c r="A346">
        <v>0.50133320000000003</v>
      </c>
      <c r="B346">
        <v>10.915728</v>
      </c>
      <c r="C346">
        <f t="shared" si="12"/>
        <v>9.7366505779959081</v>
      </c>
      <c r="D346" s="3"/>
      <c r="E346" s="9">
        <v>1.7238653309134801E-2</v>
      </c>
      <c r="F346" s="8">
        <v>2.7096471611136201</v>
      </c>
      <c r="G346" s="1">
        <f t="shared" si="13"/>
        <v>3.1708662611136202</v>
      </c>
      <c r="I346" s="9">
        <v>0.49145465999999999</v>
      </c>
      <c r="J346" s="8">
        <v>9.6231449999999992</v>
      </c>
      <c r="P346" s="9">
        <v>0.49392429999999998</v>
      </c>
      <c r="Q346" s="8">
        <v>9.6165979999999998</v>
      </c>
    </row>
    <row r="347" spans="1:17" x14ac:dyDescent="0.3">
      <c r="A347">
        <v>0.5038028</v>
      </c>
      <c r="B347">
        <v>10.933849</v>
      </c>
      <c r="C347">
        <f t="shared" si="12"/>
        <v>9.7547715779959088</v>
      </c>
      <c r="D347" s="3"/>
      <c r="E347" s="9">
        <v>1.77348842698298E-2</v>
      </c>
      <c r="F347" s="8">
        <v>2.7299894739329198</v>
      </c>
      <c r="G347" s="1">
        <f t="shared" si="13"/>
        <v>3.1912085739329199</v>
      </c>
      <c r="I347" s="9">
        <v>0.49392429999999998</v>
      </c>
      <c r="J347" s="8">
        <v>9.6412259999999996</v>
      </c>
      <c r="P347" s="9">
        <v>0.49639391999999999</v>
      </c>
      <c r="Q347" s="8">
        <v>9.6346609999999995</v>
      </c>
    </row>
    <row r="348" spans="1:17" x14ac:dyDescent="0.3">
      <c r="A348">
        <v>0.50627239999999996</v>
      </c>
      <c r="B348">
        <v>10.951885000000001</v>
      </c>
      <c r="C348">
        <f t="shared" si="12"/>
        <v>9.7728075779959092</v>
      </c>
      <c r="D348" s="3"/>
      <c r="E348" s="9">
        <v>1.8245398885859E-2</v>
      </c>
      <c r="F348" s="8">
        <v>2.7505927208816301</v>
      </c>
      <c r="G348" s="1">
        <f t="shared" si="13"/>
        <v>3.2118118208816302</v>
      </c>
      <c r="I348" s="9">
        <v>0.49639391999999999</v>
      </c>
      <c r="J348" s="8">
        <v>9.6592199999999995</v>
      </c>
      <c r="P348" s="9">
        <v>0.49886352</v>
      </c>
      <c r="Q348" s="8">
        <v>9.6526350000000001</v>
      </c>
    </row>
    <row r="349" spans="1:17" x14ac:dyDescent="0.3">
      <c r="A349">
        <v>0.50874202999999996</v>
      </c>
      <c r="B349">
        <v>10.969836000000001</v>
      </c>
      <c r="C349">
        <f t="shared" si="12"/>
        <v>9.7907585779959092</v>
      </c>
      <c r="D349" s="3"/>
      <c r="E349" s="9">
        <v>1.8770608302084098E-2</v>
      </c>
      <c r="F349" s="8">
        <v>2.7714637386588401</v>
      </c>
      <c r="G349" s="1">
        <f t="shared" si="13"/>
        <v>3.2326828386588402</v>
      </c>
      <c r="I349" s="9">
        <v>0.49886352</v>
      </c>
      <c r="J349" s="8">
        <v>9.6771290000000008</v>
      </c>
      <c r="P349" s="9">
        <v>0.50133320000000003</v>
      </c>
      <c r="Q349" s="8">
        <v>9.6705229999999993</v>
      </c>
    </row>
    <row r="350" spans="1:17" x14ac:dyDescent="0.3">
      <c r="A350">
        <v>0.51121163000000003</v>
      </c>
      <c r="B350">
        <v>10.987700999999999</v>
      </c>
      <c r="C350">
        <f t="shared" si="12"/>
        <v>9.8086235779959079</v>
      </c>
      <c r="D350" s="3"/>
      <c r="E350" s="9">
        <v>1.9310935497879399E-2</v>
      </c>
      <c r="F350" s="8">
        <v>2.79260959917353</v>
      </c>
      <c r="G350" s="1">
        <f t="shared" si="13"/>
        <v>3.2538286991735301</v>
      </c>
      <c r="I350" s="9">
        <v>0.50133320000000003</v>
      </c>
      <c r="J350" s="8">
        <v>9.6949529999999999</v>
      </c>
      <c r="P350" s="9">
        <v>0.5038028</v>
      </c>
      <c r="Q350" s="8">
        <v>9.6883239999999997</v>
      </c>
    </row>
    <row r="351" spans="1:17" x14ac:dyDescent="0.3">
      <c r="A351">
        <v>0.51368122999999999</v>
      </c>
      <c r="B351">
        <v>11.005483999999999</v>
      </c>
      <c r="C351">
        <f t="shared" si="12"/>
        <v>9.8264065779959076</v>
      </c>
      <c r="D351" s="3"/>
      <c r="E351" s="9">
        <v>1.9866815627779501E-2</v>
      </c>
      <c r="F351" s="8">
        <v>2.8140376276105501</v>
      </c>
      <c r="G351" s="1">
        <f t="shared" si="13"/>
        <v>3.2752567276105502</v>
      </c>
      <c r="I351" s="9">
        <v>0.5038028</v>
      </c>
      <c r="J351" s="8">
        <v>9.7126929999999998</v>
      </c>
      <c r="P351" s="9">
        <v>0.50627239999999996</v>
      </c>
      <c r="Q351" s="8">
        <v>9.7060390000000005</v>
      </c>
    </row>
    <row r="352" spans="1:17" x14ac:dyDescent="0.3">
      <c r="A352">
        <v>0.51615089999999997</v>
      </c>
      <c r="B352">
        <v>11.023182</v>
      </c>
      <c r="C352">
        <f t="shared" si="12"/>
        <v>9.8441045779959087</v>
      </c>
      <c r="D352" s="3"/>
      <c r="E352" s="9">
        <v>2.04386963719329E-2</v>
      </c>
      <c r="F352" s="8">
        <v>2.83575542014129</v>
      </c>
      <c r="G352" s="1">
        <f t="shared" si="13"/>
        <v>3.2969745201412901</v>
      </c>
      <c r="I352" s="9">
        <v>0.50627239999999996</v>
      </c>
      <c r="J352" s="8">
        <v>9.7303510000000006</v>
      </c>
      <c r="P352" s="9">
        <v>0.50874202999999996</v>
      </c>
      <c r="Q352" s="8">
        <v>9.7236689999999992</v>
      </c>
    </row>
    <row r="353" spans="1:17" x14ac:dyDescent="0.3">
      <c r="A353">
        <v>0.51862050000000004</v>
      </c>
      <c r="B353">
        <v>11.04078</v>
      </c>
      <c r="C353">
        <f t="shared" si="12"/>
        <v>9.8617025779959082</v>
      </c>
      <c r="D353" s="3"/>
      <c r="E353" s="9">
        <v>2.1027038296642899E-2</v>
      </c>
      <c r="F353" s="8">
        <v>2.85777086109713</v>
      </c>
      <c r="G353" s="1">
        <f t="shared" si="13"/>
        <v>3.3189899610971301</v>
      </c>
      <c r="I353" s="9">
        <v>0.50874202999999996</v>
      </c>
      <c r="J353" s="8">
        <v>9.7479239999999994</v>
      </c>
      <c r="P353" s="9">
        <v>0.51121163000000003</v>
      </c>
      <c r="Q353" s="8">
        <v>9.7412150000000004</v>
      </c>
    </row>
    <row r="354" spans="1:17" x14ac:dyDescent="0.3">
      <c r="A354">
        <v>0.52109015000000003</v>
      </c>
      <c r="B354">
        <v>11.058292</v>
      </c>
      <c r="C354">
        <f t="shared" si="12"/>
        <v>9.8792145779959082</v>
      </c>
      <c r="D354" s="3"/>
      <c r="E354" s="9">
        <v>2.1632315225286299E-2</v>
      </c>
      <c r="F354" s="8">
        <v>2.8800921394246601</v>
      </c>
      <c r="G354" s="1">
        <f t="shared" si="13"/>
        <v>3.3413112394246602</v>
      </c>
      <c r="I354" s="9">
        <v>0.51121163000000003</v>
      </c>
      <c r="J354" s="8">
        <v>9.7653949999999998</v>
      </c>
      <c r="M354">
        <v>0.52849900000000005</v>
      </c>
      <c r="N354">
        <v>11.110329</v>
      </c>
      <c r="P354" s="9">
        <v>0.51368122999999999</v>
      </c>
      <c r="Q354" s="8">
        <v>9.7586759999999995</v>
      </c>
    </row>
    <row r="355" spans="1:17" x14ac:dyDescent="0.3">
      <c r="A355">
        <v>0.52355974999999999</v>
      </c>
      <c r="B355">
        <v>11.075722000000001</v>
      </c>
      <c r="C355">
        <f t="shared" si="12"/>
        <v>9.8966445779959091</v>
      </c>
      <c r="D355" s="3"/>
      <c r="E355" s="9">
        <v>2.2255014619908899E-2</v>
      </c>
      <c r="F355" s="8">
        <v>2.9027277642434801</v>
      </c>
      <c r="G355" s="1">
        <f t="shared" si="13"/>
        <v>3.3639468642434802</v>
      </c>
      <c r="I355" s="9">
        <v>0.51368122999999999</v>
      </c>
      <c r="J355" s="8">
        <v>9.7827830000000002</v>
      </c>
      <c r="M355">
        <v>0.53096860000000001</v>
      </c>
      <c r="N355">
        <v>11.127509</v>
      </c>
      <c r="P355" s="9">
        <v>0.51615089999999997</v>
      </c>
      <c r="Q355" s="8">
        <v>9.776052</v>
      </c>
    </row>
    <row r="356" spans="1:17" x14ac:dyDescent="0.3">
      <c r="A356">
        <v>0.52602934999999995</v>
      </c>
      <c r="B356">
        <v>11.093067</v>
      </c>
      <c r="C356">
        <f t="shared" si="12"/>
        <v>9.913989577995908</v>
      </c>
      <c r="D356" s="3"/>
      <c r="E356" s="9">
        <v>2.2895637973804801E-2</v>
      </c>
      <c r="F356" s="8">
        <v>2.92568657933022</v>
      </c>
      <c r="G356" s="1">
        <f t="shared" si="13"/>
        <v>3.3869056793302201</v>
      </c>
      <c r="I356" s="9">
        <v>0.51615089999999997</v>
      </c>
      <c r="J356" s="8">
        <v>9.8000869999999995</v>
      </c>
      <c r="P356" s="9">
        <v>0.51862050000000004</v>
      </c>
      <c r="Q356" s="8">
        <v>9.7933459999999997</v>
      </c>
    </row>
    <row r="357" spans="1:17" x14ac:dyDescent="0.3">
      <c r="A357">
        <v>0.52849900000000005</v>
      </c>
      <c r="B357">
        <v>11.110329</v>
      </c>
      <c r="C357">
        <f t="shared" si="12"/>
        <v>9.9312515779959085</v>
      </c>
      <c r="D357" s="3"/>
      <c r="E357" s="9">
        <v>2.3554701215395799E-2</v>
      </c>
      <c r="F357" s="8">
        <v>2.9489777763568901</v>
      </c>
      <c r="G357" s="1">
        <f t="shared" si="13"/>
        <v>3.4101968763568902</v>
      </c>
      <c r="I357" s="9">
        <v>0.51862050000000004</v>
      </c>
      <c r="J357" s="8">
        <v>9.8173080000000006</v>
      </c>
      <c r="M357" s="1">
        <v>0.5286983142056999</v>
      </c>
      <c r="N357">
        <f>(N355-N354)/(M355-M354)*(M357-M354)+N354</f>
        <v>11.111715547640882</v>
      </c>
      <c r="P357" s="9">
        <v>0.52109015000000003</v>
      </c>
      <c r="Q357" s="8">
        <v>9.8105580000000003</v>
      </c>
    </row>
    <row r="358" spans="1:17" x14ac:dyDescent="0.3">
      <c r="A358">
        <v>0.53096860000000001</v>
      </c>
      <c r="B358">
        <v>11.127509</v>
      </c>
      <c r="C358">
        <f t="shared" si="12"/>
        <v>9.9484315779959083</v>
      </c>
      <c r="D358" s="3"/>
      <c r="E358" s="9">
        <v>2.4232735123736901E-2</v>
      </c>
      <c r="F358" s="8">
        <v>2.9726109067172302</v>
      </c>
      <c r="G358" s="1">
        <f t="shared" si="13"/>
        <v>3.4338300067172303</v>
      </c>
      <c r="I358" s="9">
        <v>0.52109015000000003</v>
      </c>
      <c r="J358" s="8">
        <v>9.8344480000000001</v>
      </c>
      <c r="P358" s="9">
        <v>0.52355974999999999</v>
      </c>
      <c r="Q358" s="8">
        <v>9.8276880000000002</v>
      </c>
    </row>
    <row r="359" spans="1:17" x14ac:dyDescent="0.3">
      <c r="A359">
        <v>0.53343819999999997</v>
      </c>
      <c r="B359">
        <v>11.144607000000001</v>
      </c>
      <c r="C359">
        <f t="shared" si="12"/>
        <v>9.965529577995909</v>
      </c>
      <c r="D359" s="3"/>
      <c r="E359" s="9">
        <v>2.4930285755980199E-2</v>
      </c>
      <c r="F359" s="8">
        <v>2.9965958917817801</v>
      </c>
      <c r="G359" s="1">
        <f t="shared" si="13"/>
        <v>3.4578149917817802</v>
      </c>
      <c r="I359" s="9">
        <v>0.52355974999999999</v>
      </c>
      <c r="J359" s="8">
        <v>9.8515060000000005</v>
      </c>
      <c r="P359" s="9">
        <v>0.52602934999999995</v>
      </c>
      <c r="Q359" s="8">
        <v>9.8447359999999993</v>
      </c>
    </row>
    <row r="360" spans="1:17" x14ac:dyDescent="0.3">
      <c r="A360">
        <v>0.53590786000000001</v>
      </c>
      <c r="B360">
        <v>11.161623000000001</v>
      </c>
      <c r="C360">
        <f t="shared" si="12"/>
        <v>9.9825455779959089</v>
      </c>
      <c r="D360" s="3"/>
      <c r="E360" s="9">
        <v>2.5647914887145101E-2</v>
      </c>
      <c r="F360" s="8">
        <v>3.02094303143125</v>
      </c>
      <c r="G360" s="1">
        <f t="shared" si="13"/>
        <v>3.4821621314312501</v>
      </c>
      <c r="I360" s="9">
        <v>0.52602934999999995</v>
      </c>
      <c r="J360" s="8">
        <v>9.8684840000000005</v>
      </c>
      <c r="P360" s="9">
        <v>0.52849900000000005</v>
      </c>
      <c r="Q360" s="8">
        <v>9.8617039999999996</v>
      </c>
    </row>
    <row r="361" spans="1:17" x14ac:dyDescent="0.3">
      <c r="A361">
        <v>0.53837745999999997</v>
      </c>
      <c r="B361">
        <v>11.178558000000001</v>
      </c>
      <c r="C361">
        <f t="shared" si="12"/>
        <v>9.9994805779959091</v>
      </c>
      <c r="D361" s="3"/>
      <c r="E361" s="9">
        <v>2.6386200462545199E-2</v>
      </c>
      <c r="F361" s="8">
        <v>3.04566301072829</v>
      </c>
      <c r="G361" s="1">
        <f t="shared" si="13"/>
        <v>3.5068821107282901</v>
      </c>
      <c r="I361" s="9">
        <v>0.52849900000000005</v>
      </c>
      <c r="J361" s="8">
        <v>9.8853810000000006</v>
      </c>
      <c r="P361" s="9">
        <v>0.53096860000000001</v>
      </c>
      <c r="Q361" s="8">
        <v>9.8785919999999994</v>
      </c>
    </row>
    <row r="362" spans="1:17" x14ac:dyDescent="0.3">
      <c r="A362">
        <v>0.54084710000000003</v>
      </c>
      <c r="B362">
        <v>11.195414</v>
      </c>
      <c r="C362">
        <f t="shared" si="12"/>
        <v>10.016336577995908</v>
      </c>
      <c r="D362" s="3"/>
      <c r="E362" s="9">
        <v>2.7145737063239E-2</v>
      </c>
      <c r="F362" s="8">
        <v>3.0707669046002302</v>
      </c>
      <c r="G362" s="1">
        <f t="shared" si="13"/>
        <v>3.5319860046002303</v>
      </c>
      <c r="I362" s="9">
        <v>0.53096860000000001</v>
      </c>
      <c r="J362" s="8">
        <v>9.9021989999999995</v>
      </c>
      <c r="P362" s="9">
        <v>0.53343819999999997</v>
      </c>
      <c r="Q362" s="8">
        <v>9.8953980000000001</v>
      </c>
    </row>
    <row r="363" spans="1:17" x14ac:dyDescent="0.3">
      <c r="A363">
        <v>0.54331669999999999</v>
      </c>
      <c r="B363">
        <v>11.212189</v>
      </c>
      <c r="C363">
        <f t="shared" si="12"/>
        <v>10.033111577995909</v>
      </c>
      <c r="D363" s="3"/>
      <c r="E363" s="9">
        <v>2.79271363848781E-2</v>
      </c>
      <c r="F363" s="8">
        <v>3.0962661804193101</v>
      </c>
      <c r="G363" s="1">
        <f t="shared" si="13"/>
        <v>3.5574852804193102</v>
      </c>
      <c r="I363" s="9">
        <v>0.53343819999999997</v>
      </c>
      <c r="J363" s="8">
        <v>9.9189369999999997</v>
      </c>
      <c r="P363" s="9">
        <v>0.53590786000000001</v>
      </c>
      <c r="Q363" s="8">
        <v>9.9121269999999999</v>
      </c>
    </row>
    <row r="364" spans="1:17" x14ac:dyDescent="0.3">
      <c r="A364">
        <v>0.54578629999999995</v>
      </c>
      <c r="B364">
        <v>11.228885</v>
      </c>
      <c r="C364">
        <f t="shared" si="12"/>
        <v>10.049807577995908</v>
      </c>
      <c r="D364" s="3"/>
      <c r="E364" s="9">
        <v>2.8731027730338199E-2</v>
      </c>
      <c r="F364" s="8">
        <v>3.1221726983840501</v>
      </c>
      <c r="G364" s="1">
        <f t="shared" si="13"/>
        <v>3.5833917983840502</v>
      </c>
      <c r="I364" s="9">
        <v>0.53590786000000001</v>
      </c>
      <c r="J364" s="8">
        <v>9.9355969999999996</v>
      </c>
      <c r="P364" s="9">
        <v>0.53837745999999997</v>
      </c>
      <c r="Q364" s="8">
        <v>9.9287759999999992</v>
      </c>
    </row>
    <row r="365" spans="1:17" x14ac:dyDescent="0.3">
      <c r="A365">
        <v>0.54825599999999997</v>
      </c>
      <c r="B365">
        <v>11.245502</v>
      </c>
      <c r="C365">
        <f t="shared" si="12"/>
        <v>10.066424577995909</v>
      </c>
      <c r="D365" s="3"/>
      <c r="E365" s="9">
        <v>2.9558058516531E-2</v>
      </c>
      <c r="F365" s="8">
        <v>3.1484987096228298</v>
      </c>
      <c r="G365" s="1">
        <f t="shared" si="13"/>
        <v>3.60971780962283</v>
      </c>
      <c r="I365" s="9">
        <v>0.53837745999999997</v>
      </c>
      <c r="J365" s="8">
        <v>9.9521800000000002</v>
      </c>
      <c r="P365" s="9">
        <v>0.54084710000000003</v>
      </c>
      <c r="Q365" s="8">
        <v>9.9453469999999999</v>
      </c>
    </row>
    <row r="366" spans="1:17" x14ac:dyDescent="0.3">
      <c r="A366">
        <v>0.55072560000000004</v>
      </c>
      <c r="B366">
        <v>11.262041</v>
      </c>
      <c r="C366">
        <f t="shared" si="12"/>
        <v>10.082963577995908</v>
      </c>
      <c r="D366" s="3"/>
      <c r="E366" s="9">
        <v>3.0408894795803498E-2</v>
      </c>
      <c r="F366" s="8">
        <v>3.17525685196137</v>
      </c>
      <c r="G366" s="1">
        <f t="shared" si="13"/>
        <v>3.6364759519613701</v>
      </c>
      <c r="I366" s="9">
        <v>0.54084710000000003</v>
      </c>
      <c r="J366" s="8">
        <v>9.9686850000000007</v>
      </c>
      <c r="P366" s="9">
        <v>0.54331669999999999</v>
      </c>
      <c r="Q366" s="8">
        <v>9.9618409999999997</v>
      </c>
    </row>
    <row r="367" spans="1:17" x14ac:dyDescent="0.3">
      <c r="A367">
        <v>0.5531952</v>
      </c>
      <c r="B367">
        <v>11.278501500000001</v>
      </c>
      <c r="C367">
        <f t="shared" si="12"/>
        <v>10.099424077995909</v>
      </c>
      <c r="D367" s="3"/>
      <c r="E367" s="9">
        <v>3.1284221792346099E-2</v>
      </c>
      <c r="F367" s="8">
        <v>3.2024601433176199</v>
      </c>
      <c r="G367" s="1">
        <f t="shared" si="13"/>
        <v>3.66367924331762</v>
      </c>
      <c r="I367" s="9">
        <v>0.54331669999999999</v>
      </c>
      <c r="J367" s="8">
        <v>9.9851139999999994</v>
      </c>
      <c r="P367" s="9">
        <v>0.54578629999999995</v>
      </c>
      <c r="Q367" s="8">
        <v>9.978256</v>
      </c>
    </row>
    <row r="368" spans="1:17" x14ac:dyDescent="0.3">
      <c r="A368">
        <v>0.55566484000000005</v>
      </c>
      <c r="B368">
        <v>11.294885000000001</v>
      </c>
      <c r="C368">
        <f t="shared" si="12"/>
        <v>10.115807577995909</v>
      </c>
      <c r="D368" s="3"/>
      <c r="E368" s="9">
        <v>3.2184744454039897E-2</v>
      </c>
      <c r="F368" s="8">
        <v>3.2301219727102901</v>
      </c>
      <c r="G368" s="1">
        <f t="shared" si="13"/>
        <v>3.6913410727102902</v>
      </c>
      <c r="I368" s="9">
        <v>0.54578629999999995</v>
      </c>
      <c r="J368" s="8">
        <v>10.001467</v>
      </c>
      <c r="P368" s="9">
        <v>0.54825599999999997</v>
      </c>
      <c r="Q368" s="8">
        <v>9.9945950000000003</v>
      </c>
    </row>
    <row r="369" spans="1:17" x14ac:dyDescent="0.3">
      <c r="A369">
        <v>0.55813444000000001</v>
      </c>
      <c r="B369">
        <v>11.311192</v>
      </c>
      <c r="C369">
        <f t="shared" si="12"/>
        <v>10.132114577995909</v>
      </c>
      <c r="D369" s="3"/>
      <c r="E369" s="9">
        <v>3.3111188020189801E-2</v>
      </c>
      <c r="F369" s="8">
        <v>3.2582560888921801</v>
      </c>
      <c r="G369" s="1">
        <f t="shared" si="13"/>
        <v>3.7194751888921802</v>
      </c>
      <c r="I369" s="9">
        <v>0.54825599999999997</v>
      </c>
      <c r="J369" s="8">
        <v>10.017742999999999</v>
      </c>
      <c r="P369" s="9">
        <v>0.55072560000000004</v>
      </c>
      <c r="Q369" s="8">
        <v>10.010858000000001</v>
      </c>
    </row>
    <row r="370" spans="1:17" x14ac:dyDescent="0.3">
      <c r="A370">
        <v>0.56060410000000005</v>
      </c>
      <c r="B370">
        <v>11.327420999999999</v>
      </c>
      <c r="C370">
        <f t="shared" si="12"/>
        <v>10.148343577995908</v>
      </c>
      <c r="D370" s="3"/>
      <c r="E370" s="9">
        <v>3.4064298605598203E-2</v>
      </c>
      <c r="F370" s="8">
        <v>3.2868765866437202</v>
      </c>
      <c r="G370" s="1">
        <f t="shared" si="13"/>
        <v>3.7480956866437203</v>
      </c>
      <c r="I370" s="9">
        <v>0.55072560000000004</v>
      </c>
      <c r="J370" s="8">
        <v>10.033944999999999</v>
      </c>
      <c r="P370" s="9">
        <v>0.5531952</v>
      </c>
      <c r="Q370" s="8">
        <v>10.027043000000001</v>
      </c>
    </row>
    <row r="371" spans="1:17" x14ac:dyDescent="0.3">
      <c r="A371">
        <v>0.56307370000000001</v>
      </c>
      <c r="B371">
        <v>11.3435755</v>
      </c>
      <c r="C371">
        <f t="shared" si="12"/>
        <v>10.164498077995908</v>
      </c>
      <c r="D371" s="3"/>
      <c r="E371" s="9">
        <v>3.5044843801451502E-2</v>
      </c>
      <c r="F371" s="8">
        <v>3.31599789078789</v>
      </c>
      <c r="G371" s="1">
        <f t="shared" si="13"/>
        <v>3.7772169907878901</v>
      </c>
      <c r="I371" s="9">
        <v>0.5531952</v>
      </c>
      <c r="J371" s="8">
        <v>10.050072</v>
      </c>
      <c r="P371" s="9">
        <v>0.55566484000000005</v>
      </c>
      <c r="Q371" s="8">
        <v>10.043153999999999</v>
      </c>
    </row>
    <row r="372" spans="1:17" x14ac:dyDescent="0.3">
      <c r="A372">
        <v>0.56554329999999997</v>
      </c>
      <c r="B372">
        <v>11.359653</v>
      </c>
      <c r="C372">
        <f t="shared" si="12"/>
        <v>10.180575577995908</v>
      </c>
      <c r="D372" s="3"/>
      <c r="E372" s="9">
        <v>3.60536132935027E-2</v>
      </c>
      <c r="F372" s="8">
        <v>3.34563473801225</v>
      </c>
      <c r="G372" s="1">
        <f t="shared" si="13"/>
        <v>3.8068538380122501</v>
      </c>
      <c r="I372" s="9">
        <v>0.55566484000000005</v>
      </c>
      <c r="J372" s="8">
        <v>10.066125</v>
      </c>
      <c r="P372" s="9">
        <v>0.55813444000000001</v>
      </c>
      <c r="Q372" s="8">
        <v>10.059189999999999</v>
      </c>
    </row>
    <row r="373" spans="1:17" x14ac:dyDescent="0.3">
      <c r="A373">
        <v>0.56801294999999996</v>
      </c>
      <c r="B373">
        <v>11.375657</v>
      </c>
      <c r="C373">
        <f t="shared" si="12"/>
        <v>10.196579577995909</v>
      </c>
      <c r="D373" s="3"/>
      <c r="E373" s="9">
        <v>3.70914194980475E-2</v>
      </c>
      <c r="F373" s="8">
        <v>3.3758021566082199</v>
      </c>
      <c r="G373" s="1">
        <f t="shared" si="13"/>
        <v>3.83702125660822</v>
      </c>
      <c r="I373" s="9">
        <v>0.55813444000000001</v>
      </c>
      <c r="J373" s="8">
        <v>10.082105</v>
      </c>
      <c r="P373" s="9">
        <v>0.56060410000000005</v>
      </c>
      <c r="Q373" s="8">
        <v>10.075150499999999</v>
      </c>
    </row>
    <row r="374" spans="1:17" x14ac:dyDescent="0.3">
      <c r="A374">
        <v>0.57048255000000003</v>
      </c>
      <c r="B374">
        <v>11.391584999999999</v>
      </c>
      <c r="C374">
        <f t="shared" si="12"/>
        <v>10.212507577995908</v>
      </c>
      <c r="D374" s="3"/>
      <c r="E374" s="9">
        <v>3.81590982162072E-2</v>
      </c>
      <c r="F374" s="8">
        <v>3.4065154442604899</v>
      </c>
      <c r="G374" s="1">
        <f t="shared" si="13"/>
        <v>3.86773454426049</v>
      </c>
      <c r="I374" s="9">
        <v>0.56060410000000005</v>
      </c>
      <c r="J374" s="8">
        <v>10.098011</v>
      </c>
      <c r="P374" s="9">
        <v>0.56307370000000001</v>
      </c>
      <c r="Q374" s="8">
        <v>10.091037</v>
      </c>
    </row>
    <row r="375" spans="1:17" x14ac:dyDescent="0.3">
      <c r="A375">
        <v>0.57295214999999999</v>
      </c>
      <c r="B375">
        <v>11.407444999999999</v>
      </c>
      <c r="C375">
        <f t="shared" si="12"/>
        <v>10.228367577995908</v>
      </c>
      <c r="D375" s="3"/>
      <c r="E375" s="9">
        <v>3.9257509307043803E-2</v>
      </c>
      <c r="F375" s="8">
        <v>3.4377901440405698</v>
      </c>
      <c r="G375" s="1">
        <f t="shared" si="13"/>
        <v>3.8990092440405699</v>
      </c>
      <c r="I375" s="9">
        <v>0.56307370000000001</v>
      </c>
      <c r="J375" s="8">
        <v>10.113845</v>
      </c>
      <c r="P375" s="9">
        <v>0.56554329999999997</v>
      </c>
      <c r="Q375" s="8">
        <v>10.106849</v>
      </c>
    </row>
    <row r="376" spans="1:17" x14ac:dyDescent="0.3">
      <c r="A376">
        <v>0.57542179999999998</v>
      </c>
      <c r="B376">
        <v>11.423233</v>
      </c>
      <c r="C376">
        <f t="shared" si="12"/>
        <v>10.244155577995908</v>
      </c>
      <c r="D376" s="3"/>
      <c r="E376" s="9">
        <v>4.0387537380051103E-2</v>
      </c>
      <c r="F376" s="8">
        <v>3.46964201877761</v>
      </c>
      <c r="G376" s="1">
        <f t="shared" si="13"/>
        <v>3.9308611187776101</v>
      </c>
      <c r="I376" s="9">
        <v>0.56554329999999997</v>
      </c>
      <c r="J376" s="8">
        <v>10.129607</v>
      </c>
      <c r="P376" s="9">
        <v>0.56801294999999996</v>
      </c>
      <c r="Q376" s="8">
        <v>10.122586999999999</v>
      </c>
    </row>
    <row r="377" spans="1:17" x14ac:dyDescent="0.3">
      <c r="A377">
        <v>0.57789140000000006</v>
      </c>
      <c r="B377">
        <v>11.43895</v>
      </c>
      <c r="C377">
        <f t="shared" si="12"/>
        <v>10.259872577995909</v>
      </c>
      <c r="D377" s="3"/>
      <c r="E377" s="9">
        <v>4.1550092507577997E-2</v>
      </c>
      <c r="F377" s="8">
        <v>3.5020870239952302</v>
      </c>
      <c r="G377" s="1">
        <f t="shared" si="13"/>
        <v>3.9633061239952303</v>
      </c>
      <c r="I377" s="9">
        <v>0.56801294999999996</v>
      </c>
      <c r="J377" s="8">
        <v>10.145296</v>
      </c>
      <c r="P377" s="9">
        <v>0.57048255000000003</v>
      </c>
      <c r="Q377" s="8">
        <v>10.138252</v>
      </c>
    </row>
    <row r="378" spans="1:17" x14ac:dyDescent="0.3">
      <c r="A378">
        <v>0.58036100000000002</v>
      </c>
      <c r="B378">
        <v>11.454594999999999</v>
      </c>
      <c r="C378">
        <f t="shared" si="12"/>
        <v>10.275517577995908</v>
      </c>
      <c r="D378" s="3"/>
      <c r="E378" s="9">
        <v>4.2746110957758897E-2</v>
      </c>
      <c r="F378" s="8">
        <v>3.53514127961654</v>
      </c>
      <c r="G378" s="1">
        <f t="shared" si="13"/>
        <v>3.9963603796165401</v>
      </c>
      <c r="I378" s="9">
        <v>0.57048255000000003</v>
      </c>
      <c r="J378" s="8">
        <v>10.160914</v>
      </c>
      <c r="P378" s="9">
        <v>0.57295214999999999</v>
      </c>
      <c r="Q378" s="8">
        <v>10.153845</v>
      </c>
    </row>
    <row r="379" spans="1:17" x14ac:dyDescent="0.3">
      <c r="A379">
        <v>0.58283067</v>
      </c>
      <c r="B379">
        <v>11.470167999999999</v>
      </c>
      <c r="C379">
        <f t="shared" si="12"/>
        <v>10.291090577995908</v>
      </c>
      <c r="D379" s="3"/>
      <c r="E379" s="9">
        <v>4.3976555948540601E-2</v>
      </c>
      <c r="F379" s="8">
        <v>3.5688210406489702</v>
      </c>
      <c r="G379" s="1">
        <f t="shared" si="13"/>
        <v>4.0300401406489703</v>
      </c>
      <c r="I379" s="9">
        <v>0.57295214999999999</v>
      </c>
      <c r="J379" s="8">
        <v>10.176461</v>
      </c>
      <c r="P379" s="9">
        <v>0.57542179999999998</v>
      </c>
      <c r="Q379" s="8">
        <v>10.169364</v>
      </c>
    </row>
    <row r="380" spans="1:17" x14ac:dyDescent="0.3">
      <c r="A380">
        <v>0.58530026999999996</v>
      </c>
      <c r="B380">
        <v>11.485671999999999</v>
      </c>
      <c r="C380">
        <f t="shared" si="12"/>
        <v>10.306594577995908</v>
      </c>
      <c r="D380" s="3"/>
      <c r="E380" s="9">
        <v>4.5242418423413797E-2</v>
      </c>
      <c r="F380" s="8">
        <v>3.60314266706636</v>
      </c>
      <c r="G380" s="1">
        <f t="shared" si="13"/>
        <v>4.0643617670663597</v>
      </c>
      <c r="I380" s="9">
        <v>0.57542179999999998</v>
      </c>
      <c r="J380" s="8">
        <v>10.191938</v>
      </c>
      <c r="P380" s="9">
        <v>0.57789140000000006</v>
      </c>
      <c r="Q380" s="8">
        <v>10.184812000000001</v>
      </c>
    </row>
    <row r="381" spans="1:17" x14ac:dyDescent="0.3">
      <c r="A381">
        <v>0.58776989999999996</v>
      </c>
      <c r="B381">
        <v>11.501104</v>
      </c>
      <c r="C381">
        <f t="shared" si="12"/>
        <v>10.322026577995908</v>
      </c>
      <c r="D381" s="3"/>
      <c r="E381" s="9">
        <v>4.6544717849472603E-2</v>
      </c>
      <c r="F381" s="8">
        <v>3.6381225931080201</v>
      </c>
      <c r="G381" s="1">
        <f t="shared" si="13"/>
        <v>4.0993416931080198</v>
      </c>
      <c r="I381" s="9">
        <v>0.57789140000000006</v>
      </c>
      <c r="J381" s="8">
        <v>10.207345</v>
      </c>
      <c r="P381" s="9">
        <v>0.58036100000000002</v>
      </c>
      <c r="Q381" s="8">
        <v>10.200187</v>
      </c>
    </row>
    <row r="382" spans="1:17" x14ac:dyDescent="0.3">
      <c r="A382">
        <v>0.59023950000000003</v>
      </c>
      <c r="B382">
        <v>11.516468</v>
      </c>
      <c r="C382">
        <f t="shared" si="12"/>
        <v>10.337390577995908</v>
      </c>
      <c r="D382" s="3"/>
      <c r="E382" s="9">
        <v>4.7884503038446602E-2</v>
      </c>
      <c r="F382" s="8">
        <v>3.6737772962124802</v>
      </c>
      <c r="G382" s="1">
        <f t="shared" si="13"/>
        <v>4.1349963962124798</v>
      </c>
      <c r="I382" s="9">
        <v>0.58036100000000002</v>
      </c>
      <c r="J382" s="8">
        <v>10.222682000000001</v>
      </c>
      <c r="P382" s="9">
        <v>0.58283067</v>
      </c>
      <c r="Q382" s="8">
        <v>10.215490000000001</v>
      </c>
    </row>
    <row r="383" spans="1:17" x14ac:dyDescent="0.3">
      <c r="A383">
        <v>0.59270909999999999</v>
      </c>
      <c r="B383">
        <v>11.531762000000001</v>
      </c>
      <c r="C383">
        <f t="shared" si="12"/>
        <v>10.352684577995909</v>
      </c>
      <c r="D383" s="3"/>
      <c r="E383" s="9">
        <v>4.9262852991365298E-2</v>
      </c>
      <c r="F383" s="8">
        <v>3.7101232657981602</v>
      </c>
      <c r="G383" s="1">
        <f t="shared" si="13"/>
        <v>4.1713423657981599</v>
      </c>
      <c r="I383" s="9">
        <v>0.58283067</v>
      </c>
      <c r="J383" s="8">
        <v>10.23795</v>
      </c>
      <c r="P383" s="9">
        <v>0.58530026999999996</v>
      </c>
      <c r="Q383" s="8">
        <v>10.230722</v>
      </c>
    </row>
    <row r="384" spans="1:17" x14ac:dyDescent="0.3">
      <c r="A384">
        <v>0.59517880000000001</v>
      </c>
      <c r="B384">
        <v>11.546988000000001</v>
      </c>
      <c r="C384">
        <f t="shared" si="12"/>
        <v>10.367910577995909</v>
      </c>
      <c r="D384" s="3"/>
      <c r="E384" s="9">
        <v>5.0680877767535402E-2</v>
      </c>
      <c r="F384" s="8">
        <v>3.7471769720933699</v>
      </c>
      <c r="G384" s="1">
        <f t="shared" si="13"/>
        <v>4.20839607209337</v>
      </c>
      <c r="I384" s="9">
        <v>0.58530026999999996</v>
      </c>
      <c r="J384" s="8">
        <v>10.25315</v>
      </c>
      <c r="P384" s="9">
        <v>0.58776989999999996</v>
      </c>
      <c r="Q384" s="8">
        <v>10.245884</v>
      </c>
    </row>
    <row r="385" spans="1:17" x14ac:dyDescent="0.3">
      <c r="A385">
        <v>0.59764839999999997</v>
      </c>
      <c r="B385">
        <v>11.562144</v>
      </c>
      <c r="C385">
        <f t="shared" si="12"/>
        <v>10.383066577995908</v>
      </c>
      <c r="D385" s="3"/>
      <c r="E385" s="9">
        <v>5.2139719378531402E-2</v>
      </c>
      <c r="F385" s="8">
        <v>3.7849548351804798</v>
      </c>
      <c r="G385" s="1">
        <f t="shared" si="13"/>
        <v>4.2461739351804795</v>
      </c>
      <c r="I385" s="9">
        <v>0.58776989999999996</v>
      </c>
      <c r="J385" s="8">
        <v>10.268281999999999</v>
      </c>
      <c r="P385" s="9">
        <v>0.59023950000000003</v>
      </c>
      <c r="Q385" s="8">
        <v>10.260973999999999</v>
      </c>
    </row>
    <row r="386" spans="1:17" x14ac:dyDescent="0.3">
      <c r="A386">
        <v>0.60011800000000004</v>
      </c>
      <c r="B386">
        <v>11.577234000000001</v>
      </c>
      <c r="C386">
        <f t="shared" si="12"/>
        <v>10.398156577995909</v>
      </c>
      <c r="D386" s="3"/>
      <c r="E386" s="9">
        <v>5.3640552707919099E-2</v>
      </c>
      <c r="F386" s="8">
        <v>3.8234731945572702</v>
      </c>
      <c r="G386" s="1">
        <f t="shared" si="13"/>
        <v>4.2846922945572699</v>
      </c>
      <c r="I386" s="9">
        <v>0.59023950000000003</v>
      </c>
      <c r="J386" s="8">
        <v>10.283345000000001</v>
      </c>
      <c r="P386" s="9">
        <v>0.59270909999999999</v>
      </c>
      <c r="Q386" s="8">
        <v>10.275994000000001</v>
      </c>
    </row>
    <row r="387" spans="1:17" x14ac:dyDescent="0.3">
      <c r="A387">
        <v>0.60258763999999998</v>
      </c>
      <c r="B387">
        <v>11.592257</v>
      </c>
      <c r="C387">
        <f t="shared" si="12"/>
        <v>10.413179577995908</v>
      </c>
      <c r="D387" s="3"/>
      <c r="E387" s="9">
        <v>5.5184586457452098E-2</v>
      </c>
      <c r="F387" s="8">
        <v>3.8627482791032399</v>
      </c>
      <c r="G387" s="1">
        <f t="shared" si="13"/>
        <v>4.32396737910324</v>
      </c>
      <c r="I387" s="9">
        <v>0.59270909999999999</v>
      </c>
      <c r="J387" s="8">
        <v>10.298342</v>
      </c>
      <c r="P387" s="9">
        <v>0.59517880000000001</v>
      </c>
      <c r="Q387" s="8">
        <v>10.290944</v>
      </c>
    </row>
    <row r="388" spans="1:17" x14ac:dyDescent="0.3">
      <c r="A388">
        <v>0.60505724000000005</v>
      </c>
      <c r="B388">
        <v>11.607212000000001</v>
      </c>
      <c r="C388">
        <f t="shared" ref="C388:C451" si="14">B388-2*PI()*1.68*(0.1187-0.007)</f>
        <v>10.428134577995909</v>
      </c>
      <c r="D388" s="3"/>
      <c r="E388" s="9">
        <v>5.67730641205045E-2</v>
      </c>
      <c r="F388" s="8">
        <v>3.90279617785942</v>
      </c>
      <c r="G388" s="1">
        <f t="shared" ref="G388:G451" si="15">$B$3+F388</f>
        <v>4.3640152778594201</v>
      </c>
      <c r="I388" s="9">
        <v>0.59517880000000001</v>
      </c>
      <c r="J388" s="8">
        <v>10.313271</v>
      </c>
      <c r="P388" s="9">
        <v>0.59764839999999997</v>
      </c>
      <c r="Q388" s="8">
        <v>10.305823999999999</v>
      </c>
    </row>
    <row r="389" spans="1:17" x14ac:dyDescent="0.3">
      <c r="A389">
        <v>0.60752689999999998</v>
      </c>
      <c r="B389">
        <v>11.622101000000001</v>
      </c>
      <c r="C389">
        <f t="shared" si="14"/>
        <v>10.443023577995909</v>
      </c>
      <c r="D389" s="3"/>
      <c r="E389" s="9">
        <v>5.8407264983522902E-2</v>
      </c>
      <c r="F389" s="8">
        <v>3.94363281158576</v>
      </c>
      <c r="G389" s="1">
        <f t="shared" si="15"/>
        <v>4.4048519115857596</v>
      </c>
      <c r="I389" s="9">
        <v>0.59764839999999997</v>
      </c>
      <c r="J389" s="8">
        <v>10.328132999999999</v>
      </c>
      <c r="P389" s="9">
        <v>0.60011800000000004</v>
      </c>
      <c r="Q389" s="8">
        <v>10.320634</v>
      </c>
    </row>
    <row r="390" spans="1:17" x14ac:dyDescent="0.3">
      <c r="A390">
        <v>0.60999650000000005</v>
      </c>
      <c r="B390">
        <v>11.636924</v>
      </c>
      <c r="C390">
        <f t="shared" si="14"/>
        <v>10.457846577995909</v>
      </c>
      <c r="D390" s="3"/>
      <c r="E390" s="9">
        <v>6.0088505156304602E-2</v>
      </c>
      <c r="F390" s="8">
        <v>3.98527390521319</v>
      </c>
      <c r="G390" s="1">
        <f t="shared" si="15"/>
        <v>4.4464930052131901</v>
      </c>
      <c r="I390" s="9">
        <v>0.60011800000000004</v>
      </c>
      <c r="J390" s="8">
        <v>10.342929</v>
      </c>
      <c r="P390" s="9">
        <v>0.60258763999999998</v>
      </c>
      <c r="Q390" s="8">
        <v>10.335375000000001</v>
      </c>
    </row>
    <row r="391" spans="1:17" x14ac:dyDescent="0.3">
      <c r="A391">
        <v>0.61246610000000001</v>
      </c>
      <c r="B391">
        <v>11.651681999999999</v>
      </c>
      <c r="C391">
        <f t="shared" si="14"/>
        <v>10.472604577995908</v>
      </c>
      <c r="D391" s="3"/>
      <c r="E391" s="9">
        <v>6.1818138631931502E-2</v>
      </c>
      <c r="F391" s="8">
        <v>4.0277349612481403</v>
      </c>
      <c r="G391" s="1">
        <f t="shared" si="15"/>
        <v>4.4889540612481404</v>
      </c>
      <c r="I391" s="9">
        <v>0.60258763999999998</v>
      </c>
      <c r="J391" s="8">
        <v>10.357659</v>
      </c>
      <c r="P391" s="9">
        <v>0.60505724000000005</v>
      </c>
      <c r="Q391" s="8">
        <v>10.350046000000001</v>
      </c>
    </row>
    <row r="392" spans="1:17" x14ac:dyDescent="0.3">
      <c r="A392">
        <v>0.61493576000000005</v>
      </c>
      <c r="B392">
        <v>11.666373999999999</v>
      </c>
      <c r="C392">
        <f t="shared" si="14"/>
        <v>10.487296577995908</v>
      </c>
      <c r="D392" s="3"/>
      <c r="E392" s="9">
        <v>6.3597558377213606E-2</v>
      </c>
      <c r="F392" s="8">
        <v>4.0710312341621702</v>
      </c>
      <c r="G392" s="1">
        <f t="shared" si="15"/>
        <v>4.5322503341621703</v>
      </c>
      <c r="I392" s="9">
        <v>0.60505724000000005</v>
      </c>
      <c r="J392" s="8">
        <v>10.372324000000001</v>
      </c>
      <c r="P392" s="9">
        <v>0.60752689999999998</v>
      </c>
      <c r="Q392" s="8">
        <v>10.364649</v>
      </c>
    </row>
    <row r="393" spans="1:17" x14ac:dyDescent="0.3">
      <c r="A393">
        <v>0.61740534999999996</v>
      </c>
      <c r="B393">
        <v>11.681003</v>
      </c>
      <c r="C393">
        <f t="shared" si="14"/>
        <v>10.501925577995909</v>
      </c>
      <c r="D393" s="3"/>
      <c r="E393" s="9">
        <v>6.5428197454519998E-2</v>
      </c>
      <c r="F393" s="8">
        <v>4.1151777057738901</v>
      </c>
      <c r="G393" s="1">
        <f t="shared" si="15"/>
        <v>4.5763968057738902</v>
      </c>
      <c r="I393" s="9">
        <v>0.60752689999999998</v>
      </c>
      <c r="J393" s="8">
        <v>10.386924</v>
      </c>
      <c r="P393" s="9">
        <v>0.60999650000000005</v>
      </c>
      <c r="Q393" s="8">
        <v>10.379185</v>
      </c>
    </row>
    <row r="394" spans="1:17" x14ac:dyDescent="0.3">
      <c r="A394">
        <v>0.61987495000000004</v>
      </c>
      <c r="B394">
        <v>11.695567</v>
      </c>
      <c r="C394">
        <f t="shared" si="14"/>
        <v>10.516489577995909</v>
      </c>
      <c r="D394" s="3"/>
      <c r="E394" s="9">
        <v>6.7311530175900997E-2</v>
      </c>
      <c r="F394" s="8">
        <v>4.1601890616055703</v>
      </c>
      <c r="G394" s="1">
        <f t="shared" si="15"/>
        <v>4.6214081616055704</v>
      </c>
      <c r="I394" s="9">
        <v>0.60999650000000005</v>
      </c>
      <c r="J394" s="8">
        <v>10.401458</v>
      </c>
      <c r="P394" s="9">
        <v>0.61246610000000001</v>
      </c>
      <c r="Q394" s="8">
        <v>10.393686000000001</v>
      </c>
    </row>
    <row r="395" spans="1:17" x14ac:dyDescent="0.3">
      <c r="A395">
        <v>0.62234460000000003</v>
      </c>
      <c r="B395">
        <v>11.710068</v>
      </c>
      <c r="C395">
        <f t="shared" si="14"/>
        <v>10.530990577995908</v>
      </c>
      <c r="D395" s="3"/>
      <c r="E395" s="9">
        <v>6.9249073290430799E-2</v>
      </c>
      <c r="F395" s="8">
        <v>4.2060796681740102</v>
      </c>
      <c r="G395" s="1">
        <f t="shared" si="15"/>
        <v>4.6672987681740103</v>
      </c>
      <c r="I395" s="9">
        <v>0.61246610000000001</v>
      </c>
      <c r="J395" s="8">
        <v>10.415927999999999</v>
      </c>
      <c r="P395" s="9">
        <v>0.61493576000000005</v>
      </c>
      <c r="Q395" s="8">
        <v>10.408122000000001</v>
      </c>
    </row>
    <row r="396" spans="1:17" x14ac:dyDescent="0.3">
      <c r="A396">
        <v>0.62481419999999999</v>
      </c>
      <c r="B396">
        <v>11.724504</v>
      </c>
      <c r="C396">
        <f t="shared" si="14"/>
        <v>10.545426577995908</v>
      </c>
      <c r="D396" s="3"/>
      <c r="E396" s="9">
        <v>7.1242387205727203E-2</v>
      </c>
      <c r="F396" s="8">
        <v>4.2528635511539497</v>
      </c>
      <c r="G396" s="1">
        <f t="shared" si="15"/>
        <v>4.7140826511539498</v>
      </c>
      <c r="I396" s="9">
        <v>0.61493576000000005</v>
      </c>
      <c r="J396" s="8">
        <v>10.430334</v>
      </c>
      <c r="P396" s="9">
        <v>0.61740534999999996</v>
      </c>
      <c r="Q396" s="8">
        <v>10.422495</v>
      </c>
    </row>
    <row r="397" spans="1:17" x14ac:dyDescent="0.3">
      <c r="A397">
        <v>0.62728390000000001</v>
      </c>
      <c r="B397">
        <v>11.738879000000001</v>
      </c>
      <c r="C397">
        <f t="shared" si="14"/>
        <v>10.559801577995909</v>
      </c>
      <c r="D397" s="3"/>
      <c r="E397" s="9">
        <v>7.3293077244631896E-2</v>
      </c>
      <c r="F397" s="8">
        <v>4.3005543743335597</v>
      </c>
      <c r="G397" s="1">
        <f t="shared" si="15"/>
        <v>4.7617734743335598</v>
      </c>
      <c r="I397" s="9">
        <v>0.61740534999999996</v>
      </c>
      <c r="J397" s="8">
        <v>10.444675</v>
      </c>
      <c r="P397" s="9">
        <v>0.61987495000000004</v>
      </c>
      <c r="Q397" s="8">
        <v>10.436804</v>
      </c>
    </row>
    <row r="398" spans="1:17" x14ac:dyDescent="0.3">
      <c r="A398">
        <v>0.62975349999999997</v>
      </c>
      <c r="B398">
        <v>11.753190999999999</v>
      </c>
      <c r="C398">
        <f t="shared" si="14"/>
        <v>10.574113577995908</v>
      </c>
      <c r="D398" s="3"/>
      <c r="E398" s="9">
        <v>7.5402794938062706E-2</v>
      </c>
      <c r="F398" s="8">
        <v>4.3491654192665798</v>
      </c>
      <c r="G398" s="1">
        <f t="shared" si="15"/>
        <v>4.81038451926658</v>
      </c>
      <c r="I398" s="9">
        <v>0.61987495000000004</v>
      </c>
      <c r="J398" s="8">
        <v>10.458954</v>
      </c>
      <c r="P398" s="9">
        <v>0.62234460000000003</v>
      </c>
      <c r="Q398" s="8">
        <v>10.451048999999999</v>
      </c>
    </row>
    <row r="399" spans="1:17" x14ac:dyDescent="0.3">
      <c r="A399">
        <v>0.63222307</v>
      </c>
      <c r="B399">
        <v>11.767441</v>
      </c>
      <c r="C399">
        <f t="shared" si="14"/>
        <v>10.588363577995908</v>
      </c>
      <c r="D399" s="3"/>
      <c r="E399" s="9">
        <v>7.7573239355080606E-2</v>
      </c>
      <c r="F399" s="8">
        <v>4.3987095655116404</v>
      </c>
      <c r="G399" s="1">
        <f t="shared" si="15"/>
        <v>4.8599286655116405</v>
      </c>
      <c r="I399" s="9">
        <v>0.62234460000000003</v>
      </c>
      <c r="J399" s="8">
        <v>10.473169</v>
      </c>
      <c r="P399" s="9">
        <v>0.62481419999999999</v>
      </c>
      <c r="Q399" s="8">
        <v>10.465230999999999</v>
      </c>
    </row>
    <row r="400" spans="1:17" x14ac:dyDescent="0.3">
      <c r="A400">
        <v>0.6346927</v>
      </c>
      <c r="B400">
        <v>11.781629000000001</v>
      </c>
      <c r="C400">
        <f t="shared" si="14"/>
        <v>10.602551577995909</v>
      </c>
      <c r="D400" s="3"/>
      <c r="E400" s="9">
        <v>7.9806158471241506E-2</v>
      </c>
      <c r="F400" s="8">
        <v>4.4491992713419597</v>
      </c>
      <c r="G400" s="1">
        <f t="shared" si="15"/>
        <v>4.9104183713419598</v>
      </c>
      <c r="I400" s="9">
        <v>0.62481419999999999</v>
      </c>
      <c r="J400" s="8">
        <v>10.487321</v>
      </c>
      <c r="P400" s="9">
        <v>0.62728390000000001</v>
      </c>
      <c r="Q400" s="8">
        <v>10.47935</v>
      </c>
    </row>
    <row r="401" spans="1:17" x14ac:dyDescent="0.3">
      <c r="A401">
        <v>0.63716229999999996</v>
      </c>
      <c r="B401">
        <v>11.795755</v>
      </c>
      <c r="C401">
        <f t="shared" si="14"/>
        <v>10.616677577995908</v>
      </c>
      <c r="D401" s="3"/>
      <c r="E401" s="9">
        <v>8.2103350576334402E-2</v>
      </c>
      <c r="F401" s="8">
        <v>4.5006465548012899</v>
      </c>
      <c r="G401" s="1">
        <f t="shared" si="15"/>
        <v>4.96186565480129</v>
      </c>
      <c r="I401" s="9">
        <v>0.62728390000000001</v>
      </c>
      <c r="J401" s="8">
        <v>10.5014105</v>
      </c>
      <c r="P401" s="9">
        <v>0.62975349999999997</v>
      </c>
      <c r="Q401" s="8">
        <v>10.493406999999999</v>
      </c>
    </row>
    <row r="402" spans="1:17" x14ac:dyDescent="0.3">
      <c r="A402">
        <v>0.63963190000000003</v>
      </c>
      <c r="B402">
        <v>11.809822</v>
      </c>
      <c r="C402">
        <f t="shared" si="14"/>
        <v>10.630744577995909</v>
      </c>
      <c r="D402" s="3"/>
      <c r="E402" s="9">
        <v>8.4466665722641304E-2</v>
      </c>
      <c r="F402" s="8">
        <v>4.5530629749809002</v>
      </c>
      <c r="G402" s="1">
        <f t="shared" si="15"/>
        <v>5.0142820749809003</v>
      </c>
      <c r="I402" s="9">
        <v>0.62975349999999997</v>
      </c>
      <c r="J402" s="8">
        <v>10.515438</v>
      </c>
      <c r="P402" s="9">
        <v>0.63222307</v>
      </c>
      <c r="Q402" s="8">
        <v>10.507402000000001</v>
      </c>
    </row>
    <row r="403" spans="1:17" x14ac:dyDescent="0.3">
      <c r="A403">
        <v>0.64210160000000005</v>
      </c>
      <c r="B403">
        <v>11.823828000000001</v>
      </c>
      <c r="C403">
        <f t="shared" si="14"/>
        <v>10.644750577995909</v>
      </c>
      <c r="D403" s="3"/>
      <c r="E403" s="9">
        <v>8.6898007214883402E-2</v>
      </c>
      <c r="F403" s="8">
        <v>4.6064596133935503</v>
      </c>
      <c r="G403" s="1">
        <f t="shared" si="15"/>
        <v>5.0676787133935504</v>
      </c>
      <c r="I403" s="9">
        <v>0.63222307</v>
      </c>
      <c r="J403" s="8">
        <v>10.529403</v>
      </c>
      <c r="P403" s="9">
        <v>0.6346927</v>
      </c>
      <c r="Q403" s="8">
        <v>10.521337000000001</v>
      </c>
    </row>
    <row r="404" spans="1:17" x14ac:dyDescent="0.3">
      <c r="A404">
        <v>0.64457120000000001</v>
      </c>
      <c r="B404">
        <v>11.837773</v>
      </c>
      <c r="C404">
        <f t="shared" si="14"/>
        <v>10.658695577995909</v>
      </c>
      <c r="D404" s="3"/>
      <c r="E404" s="9">
        <v>8.9399333143055204E-2</v>
      </c>
      <c r="F404" s="8">
        <v>4.6608470553246502</v>
      </c>
      <c r="G404" s="1">
        <f t="shared" si="15"/>
        <v>5.1220661553246503</v>
      </c>
      <c r="I404" s="9">
        <v>0.6346927</v>
      </c>
      <c r="J404" s="8">
        <v>10.543305</v>
      </c>
      <c r="P404" s="9">
        <v>0.63716229999999996</v>
      </c>
      <c r="Q404" s="8">
        <v>10.535209</v>
      </c>
    </row>
    <row r="405" spans="1:17" x14ac:dyDescent="0.3">
      <c r="A405">
        <v>0.64704083999999995</v>
      </c>
      <c r="B405">
        <v>11.851660000000001</v>
      </c>
      <c r="C405">
        <f t="shared" si="14"/>
        <v>10.672582577995909</v>
      </c>
      <c r="D405" s="3"/>
      <c r="E405" s="9">
        <v>9.1972657959378895E-2</v>
      </c>
      <c r="F405" s="8">
        <v>4.7162353710494296</v>
      </c>
      <c r="G405" s="1">
        <f t="shared" si="15"/>
        <v>5.1774544710494297</v>
      </c>
      <c r="I405" s="9">
        <v>0.63716229999999996</v>
      </c>
      <c r="J405" s="8">
        <v>10.557147000000001</v>
      </c>
      <c r="P405" s="9">
        <v>0.63963190000000003</v>
      </c>
      <c r="Q405" s="8">
        <v>10.549020000000001</v>
      </c>
    </row>
    <row r="406" spans="1:17" x14ac:dyDescent="0.3">
      <c r="A406">
        <v>0.64951044000000002</v>
      </c>
      <c r="B406">
        <v>11.865487</v>
      </c>
      <c r="C406">
        <f t="shared" si="14"/>
        <v>10.686409577995908</v>
      </c>
      <c r="D406" s="3"/>
      <c r="E406" s="9">
        <v>9.4620054100651593E-2</v>
      </c>
      <c r="F406" s="8">
        <v>4.7726340968148504</v>
      </c>
      <c r="G406" s="1">
        <f t="shared" si="15"/>
        <v>5.2338531968148505</v>
      </c>
      <c r="I406" s="9">
        <v>0.63963190000000003</v>
      </c>
      <c r="J406" s="8">
        <v>10.570928</v>
      </c>
      <c r="P406" s="9">
        <v>0.64210160000000005</v>
      </c>
      <c r="Q406" s="8">
        <v>10.562771</v>
      </c>
    </row>
    <row r="407" spans="1:17" x14ac:dyDescent="0.3">
      <c r="A407">
        <v>0.65198003999999998</v>
      </c>
      <c r="B407">
        <v>11.879255000000001</v>
      </c>
      <c r="C407">
        <f t="shared" si="14"/>
        <v>10.700177577995909</v>
      </c>
      <c r="D407" s="3"/>
      <c r="E407" s="9">
        <v>9.7343653657290002E-2</v>
      </c>
      <c r="F407" s="8">
        <v>4.8300522154983598</v>
      </c>
      <c r="G407" s="1">
        <f t="shared" si="15"/>
        <v>5.2912713154983599</v>
      </c>
      <c r="I407" s="9">
        <v>0.64210160000000005</v>
      </c>
      <c r="J407" s="8">
        <v>10.584645999999999</v>
      </c>
      <c r="P407" s="9">
        <v>0.64457120000000001</v>
      </c>
      <c r="Q407" s="8">
        <v>10.576461</v>
      </c>
    </row>
    <row r="408" spans="1:17" x14ac:dyDescent="0.3">
      <c r="A408">
        <v>0.65444970000000002</v>
      </c>
      <c r="B408">
        <v>11.892965</v>
      </c>
      <c r="C408">
        <f t="shared" si="14"/>
        <v>10.713887577995909</v>
      </c>
      <c r="D408" s="3"/>
      <c r="E408" s="9">
        <v>0.100145650090417</v>
      </c>
      <c r="F408" s="8">
        <v>4.8884981368707203</v>
      </c>
      <c r="G408" s="1">
        <f t="shared" si="15"/>
        <v>5.3497172368707204</v>
      </c>
      <c r="I408" s="9">
        <v>0.64457120000000001</v>
      </c>
      <c r="J408" s="8">
        <v>10.598305</v>
      </c>
      <c r="P408" s="9">
        <v>0.64704083999999995</v>
      </c>
      <c r="Q408" s="8">
        <v>10.590092</v>
      </c>
    </row>
    <row r="409" spans="1:17" x14ac:dyDescent="0.3">
      <c r="A409">
        <v>0.65691929999999998</v>
      </c>
      <c r="B409">
        <v>11.906617000000001</v>
      </c>
      <c r="C409">
        <f t="shared" si="14"/>
        <v>10.727539577995909</v>
      </c>
      <c r="D409" s="3"/>
      <c r="E409" s="9">
        <v>0.103028299998375</v>
      </c>
      <c r="F409" s="8">
        <v>4.9479796774068197</v>
      </c>
      <c r="G409" s="1">
        <f t="shared" si="15"/>
        <v>5.4091987774068198</v>
      </c>
      <c r="I409" s="9">
        <v>0.64704083999999995</v>
      </c>
      <c r="J409" s="8">
        <v>10.611902000000001</v>
      </c>
      <c r="P409" s="9">
        <v>0.64951044000000002</v>
      </c>
      <c r="Q409" s="8">
        <v>10.603662</v>
      </c>
    </row>
    <row r="410" spans="1:17" x14ac:dyDescent="0.3">
      <c r="A410">
        <v>0.65938889999999994</v>
      </c>
      <c r="B410">
        <v>11.920211</v>
      </c>
      <c r="C410">
        <f t="shared" si="14"/>
        <v>10.741133577995909</v>
      </c>
      <c r="D410" s="3"/>
      <c r="E410" s="9">
        <v>0.10599392493408299</v>
      </c>
      <c r="F410" s="8">
        <v>5.0085040396058398</v>
      </c>
      <c r="G410" s="1">
        <f t="shared" si="15"/>
        <v>5.4697231396058399</v>
      </c>
      <c r="I410" s="9">
        <v>0.64951044000000002</v>
      </c>
      <c r="J410" s="8">
        <v>10.625439999999999</v>
      </c>
      <c r="P410" s="9">
        <v>0.65198003999999998</v>
      </c>
      <c r="Q410" s="8">
        <v>10.617172999999999</v>
      </c>
    </row>
    <row r="411" spans="1:17" x14ac:dyDescent="0.3">
      <c r="A411">
        <v>0.66185855999999998</v>
      </c>
      <c r="B411">
        <v>11.933748</v>
      </c>
      <c r="C411">
        <f t="shared" si="14"/>
        <v>10.754670577995908</v>
      </c>
      <c r="D411" s="3"/>
      <c r="E411" s="9">
        <v>0.109044913274713</v>
      </c>
      <c r="F411" s="8">
        <v>5.0700777908012302</v>
      </c>
      <c r="G411" s="1">
        <f t="shared" si="15"/>
        <v>5.5312968908012303</v>
      </c>
      <c r="I411" s="9">
        <v>0.65198003999999998</v>
      </c>
      <c r="J411" s="8">
        <v>10.638916</v>
      </c>
      <c r="P411" s="9">
        <v>0.65444970000000002</v>
      </c>
      <c r="Q411" s="8">
        <v>10.630625999999999</v>
      </c>
    </row>
    <row r="412" spans="1:17" x14ac:dyDescent="0.3">
      <c r="A412">
        <v>0.66432815999999995</v>
      </c>
      <c r="B412">
        <v>11.947228000000001</v>
      </c>
      <c r="C412">
        <f t="shared" si="14"/>
        <v>10.768150577995909</v>
      </c>
      <c r="D412" s="3"/>
      <c r="E412" s="9">
        <v>0.112183722145173</v>
      </c>
      <c r="F412" s="8">
        <v>5.1327068414590897</v>
      </c>
      <c r="G412" s="1">
        <f t="shared" si="15"/>
        <v>5.5939259414590898</v>
      </c>
      <c r="I412" s="9">
        <v>0.65444970000000002</v>
      </c>
      <c r="J412" s="8">
        <v>10.652333</v>
      </c>
      <c r="P412" s="9">
        <v>0.65691929999999998</v>
      </c>
      <c r="Q412" s="8">
        <v>10.644019</v>
      </c>
    </row>
    <row r="413" spans="1:17" x14ac:dyDescent="0.3">
      <c r="A413">
        <v>0.6667978</v>
      </c>
      <c r="B413">
        <v>11.960651</v>
      </c>
      <c r="C413">
        <f t="shared" si="14"/>
        <v>10.781573577995909</v>
      </c>
      <c r="D413" s="3"/>
      <c r="E413" s="9">
        <v>0.115412879396966</v>
      </c>
      <c r="F413" s="8">
        <v>5.1963964229825299</v>
      </c>
      <c r="G413" s="1">
        <f t="shared" si="15"/>
        <v>5.65761552298253</v>
      </c>
      <c r="I413" s="9">
        <v>0.65691929999999998</v>
      </c>
      <c r="J413" s="8">
        <v>10.66569</v>
      </c>
      <c r="P413" s="9">
        <v>0.65938889999999994</v>
      </c>
      <c r="Q413" s="8">
        <v>10.657353000000001</v>
      </c>
    </row>
    <row r="414" spans="1:17" x14ac:dyDescent="0.3">
      <c r="A414">
        <v>0.66926739999999996</v>
      </c>
      <c r="B414">
        <v>11.974019</v>
      </c>
      <c r="C414">
        <f t="shared" si="14"/>
        <v>10.794941577995909</v>
      </c>
      <c r="D414" s="3"/>
      <c r="E414" s="9">
        <v>0.11873498564399999</v>
      </c>
      <c r="F414" s="8">
        <v>5.2611510650571098</v>
      </c>
      <c r="G414" s="1">
        <f t="shared" si="15"/>
        <v>5.7223701650571099</v>
      </c>
      <c r="I414" s="9">
        <v>0.65938889999999994</v>
      </c>
      <c r="J414" s="8">
        <v>10.678988</v>
      </c>
      <c r="P414" s="9">
        <v>0.66185855999999998</v>
      </c>
      <c r="Q414" s="8">
        <v>10.670629999999999</v>
      </c>
    </row>
    <row r="415" spans="1:17" x14ac:dyDescent="0.3">
      <c r="A415">
        <v>0.67173700000000003</v>
      </c>
      <c r="B415">
        <v>11.98733</v>
      </c>
      <c r="C415">
        <f t="shared" si="14"/>
        <v>10.808252577995908</v>
      </c>
      <c r="D415" s="3"/>
      <c r="E415" s="9">
        <v>0.122152716357009</v>
      </c>
      <c r="F415" s="8">
        <v>5.3269745725899602</v>
      </c>
      <c r="G415" s="1">
        <f t="shared" si="15"/>
        <v>5.7881936725899603</v>
      </c>
      <c r="I415" s="9">
        <v>0.66185855999999998</v>
      </c>
      <c r="J415" s="8">
        <v>10.692226</v>
      </c>
      <c r="P415" s="9">
        <v>0.66432815999999995</v>
      </c>
      <c r="Q415" s="8">
        <v>10.683849</v>
      </c>
    </row>
    <row r="416" spans="1:17" x14ac:dyDescent="0.3">
      <c r="A416">
        <v>0.67420670000000005</v>
      </c>
      <c r="B416">
        <v>12.000586500000001</v>
      </c>
      <c r="C416">
        <f t="shared" si="14"/>
        <v>10.821509077995909</v>
      </c>
      <c r="D416" s="3"/>
      <c r="E416" s="9">
        <v>0.125668824018247</v>
      </c>
      <c r="F416" s="8">
        <v>5.3938700023105604</v>
      </c>
      <c r="G416" s="1">
        <f t="shared" si="15"/>
        <v>5.8550891023105605</v>
      </c>
      <c r="I416" s="9">
        <v>0.66432815999999995</v>
      </c>
      <c r="J416" s="8">
        <v>10.705406</v>
      </c>
      <c r="P416" s="9">
        <v>0.6667978</v>
      </c>
      <c r="Q416" s="8">
        <v>10.697010000000001</v>
      </c>
    </row>
    <row r="417" spans="1:17" x14ac:dyDescent="0.3">
      <c r="A417">
        <v>0.67667630000000001</v>
      </c>
      <c r="B417">
        <v>12.013788</v>
      </c>
      <c r="C417">
        <f t="shared" si="14"/>
        <v>10.834710577995908</v>
      </c>
      <c r="D417" s="3"/>
      <c r="E417" s="9">
        <v>0.12928614033821301</v>
      </c>
      <c r="F417" s="8">
        <v>5.4618396391160102</v>
      </c>
      <c r="G417" s="1">
        <f t="shared" si="15"/>
        <v>5.9230587391160103</v>
      </c>
      <c r="I417" s="9">
        <v>0.6667978</v>
      </c>
      <c r="J417" s="8">
        <v>10.718526000000001</v>
      </c>
      <c r="P417" s="9">
        <v>0.66926739999999996</v>
      </c>
      <c r="Q417" s="8">
        <v>10.7101145</v>
      </c>
    </row>
    <row r="418" spans="1:17" x14ac:dyDescent="0.3">
      <c r="A418">
        <v>0.67914589999999997</v>
      </c>
      <c r="B418">
        <v>12.026935</v>
      </c>
      <c r="C418">
        <f t="shared" si="14"/>
        <v>10.847857577995908</v>
      </c>
      <c r="D418" s="3"/>
      <c r="E418" s="9">
        <v>0.13300757853617801</v>
      </c>
      <c r="F418" s="8">
        <v>5.5308849722560103</v>
      </c>
      <c r="G418" s="1">
        <f t="shared" si="15"/>
        <v>5.9921040722560104</v>
      </c>
      <c r="I418" s="9">
        <v>0.66926739999999996</v>
      </c>
      <c r="J418" s="8">
        <v>10.731586999999999</v>
      </c>
      <c r="P418" s="9">
        <v>0.67173700000000003</v>
      </c>
      <c r="Q418" s="8">
        <v>10.723160999999999</v>
      </c>
    </row>
    <row r="419" spans="1:17" x14ac:dyDescent="0.3">
      <c r="A419">
        <v>0.68161552999999997</v>
      </c>
      <c r="B419">
        <v>12.040025999999999</v>
      </c>
      <c r="C419">
        <f t="shared" si="14"/>
        <v>10.860948577995908</v>
      </c>
      <c r="D419" s="3"/>
      <c r="E419" s="9">
        <v>0.13683613568636099</v>
      </c>
      <c r="F419" s="8">
        <v>5.6010066714640701</v>
      </c>
      <c r="G419" s="1">
        <f t="shared" si="15"/>
        <v>6.0622257714640702</v>
      </c>
      <c r="I419" s="9">
        <v>0.67173700000000003</v>
      </c>
      <c r="J419" s="8">
        <v>10.744590000000001</v>
      </c>
      <c r="P419" s="9">
        <v>0.67420670000000005</v>
      </c>
      <c r="Q419" s="8">
        <v>10.736151</v>
      </c>
    </row>
    <row r="420" spans="1:17" x14ac:dyDescent="0.3">
      <c r="A420">
        <v>0.68408513000000004</v>
      </c>
      <c r="B420">
        <v>12.053063999999999</v>
      </c>
      <c r="C420">
        <f t="shared" si="14"/>
        <v>10.873986577995908</v>
      </c>
      <c r="D420" s="3"/>
      <c r="E420" s="9">
        <v>0.140774895131629</v>
      </c>
      <c r="F420" s="8">
        <v>5.6722045631507303</v>
      </c>
      <c r="G420" s="1">
        <f t="shared" si="15"/>
        <v>6.1334236631507304</v>
      </c>
      <c r="I420" s="9">
        <v>0.67420670000000005</v>
      </c>
      <c r="J420" s="8">
        <v>10.757533</v>
      </c>
      <c r="P420" s="9">
        <v>0.67667630000000001</v>
      </c>
      <c r="Q420" s="8">
        <v>10.749083499999999</v>
      </c>
    </row>
    <row r="421" spans="1:17" x14ac:dyDescent="0.3">
      <c r="A421">
        <v>0.68655473</v>
      </c>
      <c r="B421">
        <v>12.066048</v>
      </c>
      <c r="C421">
        <f t="shared" si="14"/>
        <v>10.886970577995909</v>
      </c>
      <c r="D421" s="3"/>
      <c r="E421" s="9">
        <v>0.14482702896668101</v>
      </c>
      <c r="F421" s="8">
        <v>5.7444776067818104</v>
      </c>
      <c r="G421" s="1">
        <f t="shared" si="15"/>
        <v>6.2056967067818105</v>
      </c>
      <c r="I421" s="9">
        <v>0.67667630000000001</v>
      </c>
      <c r="J421" s="8">
        <v>10.770419</v>
      </c>
      <c r="P421" s="9">
        <v>0.67914589999999997</v>
      </c>
      <c r="Q421" s="8">
        <v>10.76196</v>
      </c>
    </row>
    <row r="422" spans="1:17" x14ac:dyDescent="0.3">
      <c r="A422">
        <v>0.68902439999999998</v>
      </c>
      <c r="B422">
        <v>12.078979</v>
      </c>
      <c r="C422">
        <f t="shared" si="14"/>
        <v>10.899901577995909</v>
      </c>
      <c r="D422" s="3"/>
      <c r="E422" s="9">
        <v>0.14899580059270601</v>
      </c>
      <c r="F422" s="8">
        <v>5.8178238715703303</v>
      </c>
      <c r="G422" s="1">
        <f t="shared" si="15"/>
        <v>6.2790429715703304</v>
      </c>
      <c r="I422" s="9">
        <v>0.67914589999999997</v>
      </c>
      <c r="J422" s="8">
        <v>10.783253999999999</v>
      </c>
      <c r="P422" s="9">
        <v>0.68161552999999997</v>
      </c>
      <c r="Q422" s="8">
        <v>10.77478</v>
      </c>
    </row>
    <row r="423" spans="1:17" x14ac:dyDescent="0.3">
      <c r="A423">
        <v>0.69149400000000005</v>
      </c>
      <c r="B423">
        <v>12.091856</v>
      </c>
      <c r="C423">
        <f t="shared" si="14"/>
        <v>10.912778577995908</v>
      </c>
      <c r="D423" s="3"/>
      <c r="E423" s="9">
        <v>0.15328456734557699</v>
      </c>
      <c r="F423" s="8">
        <v>5.8922405136145901</v>
      </c>
      <c r="G423" s="1">
        <f t="shared" si="15"/>
        <v>6.3534596136145902</v>
      </c>
      <c r="I423" s="9">
        <v>0.68161552999999997</v>
      </c>
      <c r="J423" s="8">
        <v>10.796066</v>
      </c>
      <c r="P423" s="9">
        <v>0.68408513000000004</v>
      </c>
      <c r="Q423" s="8">
        <v>10.787545</v>
      </c>
    </row>
    <row r="424" spans="1:17" x14ac:dyDescent="0.3">
      <c r="A424">
        <v>0.69396365000000004</v>
      </c>
      <c r="B424">
        <v>12.104680999999999</v>
      </c>
      <c r="C424">
        <f t="shared" si="14"/>
        <v>10.925603577995908</v>
      </c>
      <c r="D424" s="3"/>
      <c r="E424" s="9">
        <v>0.15769678319969099</v>
      </c>
      <c r="F424" s="8">
        <v>5.9677237536170198</v>
      </c>
      <c r="G424" s="1">
        <f t="shared" si="15"/>
        <v>6.4289428536170199</v>
      </c>
      <c r="I424" s="9">
        <v>0.68408513000000004</v>
      </c>
      <c r="J424" s="8">
        <v>10.808825000000001</v>
      </c>
      <c r="P424" s="9">
        <v>0.68655473</v>
      </c>
      <c r="Q424" s="8">
        <v>10.800254000000001</v>
      </c>
    </row>
    <row r="425" spans="1:17" x14ac:dyDescent="0.3">
      <c r="A425">
        <v>0.69643325</v>
      </c>
      <c r="B425">
        <v>12.117454</v>
      </c>
      <c r="C425">
        <f t="shared" si="14"/>
        <v>10.938376577995909</v>
      </c>
      <c r="D425" s="3"/>
      <c r="E425" s="9">
        <v>0.16223600154964299</v>
      </c>
      <c r="F425" s="8">
        <v>6.04426885531855</v>
      </c>
      <c r="G425" s="1">
        <f t="shared" si="15"/>
        <v>6.5054879553185501</v>
      </c>
      <c r="I425" s="9">
        <v>0.68655473</v>
      </c>
      <c r="J425" s="8">
        <v>10.821529</v>
      </c>
      <c r="P425" s="9">
        <v>0.68902439999999998</v>
      </c>
      <c r="Q425" s="8">
        <v>10.812906999999999</v>
      </c>
    </row>
    <row r="426" spans="1:17" x14ac:dyDescent="0.3">
      <c r="A426">
        <v>0.69890284999999996</v>
      </c>
      <c r="B426">
        <v>12.130174</v>
      </c>
      <c r="C426">
        <f t="shared" si="14"/>
        <v>10.951096577995909</v>
      </c>
      <c r="D426" s="3"/>
      <c r="E426" s="9">
        <v>0.166905878071965</v>
      </c>
      <c r="F426" s="8">
        <v>6.1218701047827002</v>
      </c>
      <c r="G426" s="1">
        <f t="shared" si="15"/>
        <v>6.5830892047827003</v>
      </c>
      <c r="I426" s="9">
        <v>0.68902439999999998</v>
      </c>
      <c r="J426" s="8">
        <v>10.834180999999999</v>
      </c>
      <c r="P426" s="9">
        <v>0.69149400000000005</v>
      </c>
      <c r="Q426" s="8">
        <v>10.825506000000001</v>
      </c>
    </row>
    <row r="427" spans="1:17" x14ac:dyDescent="0.3">
      <c r="A427">
        <v>0.70137249999999995</v>
      </c>
      <c r="B427">
        <v>12.142842</v>
      </c>
      <c r="C427">
        <f t="shared" si="14"/>
        <v>10.963764577995908</v>
      </c>
      <c r="D427" s="3"/>
      <c r="E427" s="9">
        <v>0.17171017366923699</v>
      </c>
      <c r="F427" s="8">
        <v>6.2005207906609403</v>
      </c>
      <c r="G427" s="1">
        <f t="shared" si="15"/>
        <v>6.6617398906609404</v>
      </c>
      <c r="I427" s="9">
        <v>0.69149400000000005</v>
      </c>
      <c r="J427" s="8">
        <v>10.846779</v>
      </c>
      <c r="P427" s="9">
        <v>0.69396365000000004</v>
      </c>
      <c r="Q427" s="8">
        <v>10.838049</v>
      </c>
    </row>
    <row r="428" spans="1:17" x14ac:dyDescent="0.3">
      <c r="A428">
        <v>0.70384210000000003</v>
      </c>
      <c r="B428">
        <v>12.155459</v>
      </c>
      <c r="C428">
        <f t="shared" si="14"/>
        <v>10.976381577995909</v>
      </c>
      <c r="D428" s="3"/>
      <c r="E428" s="9">
        <v>0.17665275749894599</v>
      </c>
      <c r="F428" s="8">
        <v>6.2802131855669199</v>
      </c>
      <c r="G428" s="1">
        <f t="shared" si="15"/>
        <v>6.74143228556692</v>
      </c>
      <c r="I428" s="9">
        <v>0.69396365000000004</v>
      </c>
      <c r="J428" s="8">
        <v>10.859324000000001</v>
      </c>
      <c r="P428" s="9">
        <v>0.69643325</v>
      </c>
      <c r="Q428" s="8">
        <v>10.850536999999999</v>
      </c>
    </row>
    <row r="429" spans="1:17" x14ac:dyDescent="0.3">
      <c r="A429">
        <v>0.70631169999999999</v>
      </c>
      <c r="B429">
        <v>12.168025</v>
      </c>
      <c r="C429">
        <f t="shared" si="14"/>
        <v>10.988947577995908</v>
      </c>
      <c r="D429" s="3"/>
      <c r="E429" s="9">
        <v>0.18173761008952799</v>
      </c>
      <c r="F429" s="8">
        <v>6.36093852868325</v>
      </c>
      <c r="G429" s="1">
        <f t="shared" si="15"/>
        <v>6.8221576286832502</v>
      </c>
      <c r="I429" s="9">
        <v>0.69643325</v>
      </c>
      <c r="J429" s="8">
        <v>10.871817</v>
      </c>
      <c r="P429" s="9">
        <v>0.69890284999999996</v>
      </c>
      <c r="Q429" s="8">
        <v>10.862971</v>
      </c>
    </row>
    <row r="430" spans="1:17" x14ac:dyDescent="0.3">
      <c r="A430">
        <v>0.70878136000000003</v>
      </c>
      <c r="B430">
        <v>12.180540000000001</v>
      </c>
      <c r="C430">
        <f t="shared" si="14"/>
        <v>11.001462577995909</v>
      </c>
      <c r="D430" s="3"/>
      <c r="E430" s="9">
        <v>0.18696882654609501</v>
      </c>
      <c r="F430" s="8">
        <v>6.4426870097178801</v>
      </c>
      <c r="G430" s="1">
        <f t="shared" si="15"/>
        <v>6.9039061097178802</v>
      </c>
      <c r="I430" s="9">
        <v>0.69890284999999996</v>
      </c>
      <c r="J430" s="8">
        <v>10.884257</v>
      </c>
      <c r="P430" s="9">
        <v>0.70137249999999995</v>
      </c>
      <c r="Q430" s="8">
        <v>10.875351</v>
      </c>
    </row>
    <row r="431" spans="1:17" x14ac:dyDescent="0.3">
      <c r="A431">
        <v>0.71125095999999999</v>
      </c>
      <c r="B431">
        <v>12.193004</v>
      </c>
      <c r="C431">
        <f t="shared" si="14"/>
        <v>11.013926577995909</v>
      </c>
      <c r="D431" s="3"/>
      <c r="E431" s="9">
        <v>0.192350619848451</v>
      </c>
      <c r="F431" s="8">
        <v>6.5254477543213003</v>
      </c>
      <c r="G431" s="1">
        <f t="shared" si="15"/>
        <v>6.9866668543213004</v>
      </c>
      <c r="I431" s="9">
        <v>0.70137249999999995</v>
      </c>
      <c r="J431" s="8">
        <v>10.896646</v>
      </c>
      <c r="P431" s="9">
        <v>0.70384210000000003</v>
      </c>
      <c r="Q431" s="8">
        <v>10.887675</v>
      </c>
    </row>
    <row r="432" spans="1:17" x14ac:dyDescent="0.3">
      <c r="A432">
        <v>0.71372060000000004</v>
      </c>
      <c r="B432">
        <v>12.205418</v>
      </c>
      <c r="C432">
        <f t="shared" si="14"/>
        <v>11.026340577995908</v>
      </c>
      <c r="D432" s="3"/>
      <c r="E432" s="9">
        <v>0.197887324244028</v>
      </c>
      <c r="F432" s="8">
        <v>6.6092088110682701</v>
      </c>
      <c r="G432" s="1">
        <f t="shared" si="15"/>
        <v>7.0704279110682702</v>
      </c>
      <c r="I432" s="9">
        <v>0.70384210000000003</v>
      </c>
      <c r="J432" s="8">
        <v>10.908982</v>
      </c>
      <c r="P432" s="9">
        <v>0.70631169999999999</v>
      </c>
      <c r="Q432" s="8">
        <v>10.899946999999999</v>
      </c>
    </row>
    <row r="433" spans="1:17" x14ac:dyDescent="0.3">
      <c r="A433">
        <v>0.7161902</v>
      </c>
      <c r="B433">
        <v>12.217782</v>
      </c>
      <c r="C433">
        <f t="shared" si="14"/>
        <v>11.038704577995908</v>
      </c>
      <c r="D433" s="3"/>
      <c r="E433" s="9">
        <v>0.20358339873848599</v>
      </c>
      <c r="F433" s="8">
        <v>6.6939571401000002</v>
      </c>
      <c r="G433" s="1">
        <f t="shared" si="15"/>
        <v>7.1551762401000003</v>
      </c>
      <c r="I433" s="9">
        <v>0.70631169999999999</v>
      </c>
      <c r="J433" s="8">
        <v>10.921267500000001</v>
      </c>
      <c r="P433" s="9">
        <v>0.70878136000000003</v>
      </c>
      <c r="Q433" s="8">
        <v>10.912179999999999</v>
      </c>
    </row>
    <row r="434" spans="1:17" x14ac:dyDescent="0.3">
      <c r="A434">
        <v>0.71865979999999996</v>
      </c>
      <c r="B434">
        <v>12.230097000000001</v>
      </c>
      <c r="C434">
        <f t="shared" si="14"/>
        <v>11.051019577995909</v>
      </c>
      <c r="D434" s="3"/>
      <c r="E434" s="9">
        <v>0.209443430686794</v>
      </c>
      <c r="F434" s="8">
        <v>6.7796786035149301</v>
      </c>
      <c r="G434" s="1">
        <f t="shared" si="15"/>
        <v>7.2408977035149302</v>
      </c>
      <c r="I434" s="9">
        <v>0.70878136000000003</v>
      </c>
      <c r="J434" s="8">
        <v>10.933501</v>
      </c>
      <c r="P434" s="9">
        <v>0.71125095999999999</v>
      </c>
      <c r="Q434" s="8">
        <v>10.924375</v>
      </c>
    </row>
    <row r="435" spans="1:17" x14ac:dyDescent="0.3">
      <c r="A435">
        <v>0.72112949999999998</v>
      </c>
      <c r="B435">
        <v>12.242362999999999</v>
      </c>
      <c r="C435">
        <f t="shared" si="14"/>
        <v>11.063285577995908</v>
      </c>
      <c r="D435" s="3"/>
      <c r="E435" s="9">
        <v>0.21547213948767099</v>
      </c>
      <c r="F435" s="8">
        <v>6.8663579575870202</v>
      </c>
      <c r="G435" s="1">
        <f t="shared" si="15"/>
        <v>7.3275770575870203</v>
      </c>
      <c r="I435" s="9">
        <v>0.71125095999999999</v>
      </c>
      <c r="J435" s="8">
        <v>10.945683499999999</v>
      </c>
      <c r="P435" s="9">
        <v>0.71372060000000004</v>
      </c>
      <c r="Q435" s="8">
        <v>10.936519000000001</v>
      </c>
    </row>
    <row r="436" spans="1:17" x14ac:dyDescent="0.3">
      <c r="A436">
        <v>0.72359910000000005</v>
      </c>
      <c r="B436">
        <v>12.254580499999999</v>
      </c>
      <c r="C436">
        <f t="shared" si="14"/>
        <v>11.075503077995908</v>
      </c>
      <c r="D436" s="3"/>
      <c r="E436" s="9">
        <v>0.22167438038437201</v>
      </c>
      <c r="F436" s="8">
        <v>6.9539788468829498</v>
      </c>
      <c r="G436" s="1">
        <f t="shared" si="15"/>
        <v>7.4151979468829499</v>
      </c>
      <c r="I436" s="9">
        <v>0.71372060000000004</v>
      </c>
      <c r="J436" s="8">
        <v>10.957815999999999</v>
      </c>
      <c r="P436" s="9">
        <v>0.7161902</v>
      </c>
      <c r="Q436" s="8">
        <v>10.948612000000001</v>
      </c>
    </row>
    <row r="437" spans="1:17" x14ac:dyDescent="0.3">
      <c r="A437">
        <v>0.72606870000000001</v>
      </c>
      <c r="B437">
        <v>12.266748</v>
      </c>
      <c r="C437">
        <f t="shared" si="14"/>
        <v>11.087670577995908</v>
      </c>
      <c r="D437" s="3"/>
      <c r="E437" s="9">
        <v>0.228055148374876</v>
      </c>
      <c r="F437" s="8">
        <v>7.0425238003398096</v>
      </c>
      <c r="G437" s="1">
        <f t="shared" si="15"/>
        <v>7.5037429003398097</v>
      </c>
      <c r="I437" s="9">
        <v>0.7161902</v>
      </c>
      <c r="J437" s="8">
        <v>10.969897</v>
      </c>
      <c r="P437" s="9">
        <v>0.71865979999999996</v>
      </c>
      <c r="Q437" s="8">
        <v>10.960654999999999</v>
      </c>
    </row>
    <row r="438" spans="1:17" x14ac:dyDescent="0.3">
      <c r="A438">
        <v>0.72853833000000001</v>
      </c>
      <c r="B438">
        <v>12.278869</v>
      </c>
      <c r="C438">
        <f t="shared" si="14"/>
        <v>11.099791577995909</v>
      </c>
      <c r="D438" s="3"/>
      <c r="E438" s="9">
        <v>0.23461958223463</v>
      </c>
      <c r="F438" s="8">
        <v>7.1319742293571</v>
      </c>
      <c r="G438" s="1">
        <f t="shared" si="15"/>
        <v>7.5931933293571001</v>
      </c>
      <c r="I438" s="9">
        <v>0.71865979999999996</v>
      </c>
      <c r="J438" s="8">
        <v>10.981928</v>
      </c>
      <c r="P438" s="9">
        <v>0.72112949999999998</v>
      </c>
      <c r="Q438" s="8">
        <v>10.972649000000001</v>
      </c>
    </row>
    <row r="439" spans="1:17" x14ac:dyDescent="0.3">
      <c r="A439">
        <v>0.73100792999999997</v>
      </c>
      <c r="B439">
        <v>12.290940000000001</v>
      </c>
      <c r="C439">
        <f t="shared" si="14"/>
        <v>11.111862577995909</v>
      </c>
      <c r="D439" s="3"/>
      <c r="E439" s="9">
        <v>0.24137296865507399</v>
      </c>
      <c r="F439" s="8">
        <v>7.2223104279480896</v>
      </c>
      <c r="G439" s="1">
        <f t="shared" si="15"/>
        <v>7.6835295279480897</v>
      </c>
      <c r="I439" s="9">
        <v>0.72112949999999998</v>
      </c>
      <c r="J439" s="8">
        <v>10.993909</v>
      </c>
      <c r="P439" s="9">
        <v>0.72359910000000005</v>
      </c>
      <c r="Q439" s="8">
        <v>10.984593</v>
      </c>
    </row>
    <row r="440" spans="1:17" x14ac:dyDescent="0.3">
      <c r="A440">
        <v>0.73347759999999995</v>
      </c>
      <c r="B440">
        <v>12.302963</v>
      </c>
      <c r="C440">
        <f t="shared" si="14"/>
        <v>11.123885577995908</v>
      </c>
      <c r="D440" s="3"/>
      <c r="E440" s="9">
        <v>0.24832074650130401</v>
      </c>
      <c r="F440" s="8">
        <v>7.3135115749873503</v>
      </c>
      <c r="G440" s="1">
        <f t="shared" si="15"/>
        <v>7.7747306749873504</v>
      </c>
      <c r="I440" s="9">
        <v>0.72359910000000005</v>
      </c>
      <c r="J440" s="8">
        <v>11.005839999999999</v>
      </c>
      <c r="P440" s="9">
        <v>0.72606870000000001</v>
      </c>
      <c r="Q440" s="8">
        <v>10.996489</v>
      </c>
    </row>
    <row r="441" spans="1:17" x14ac:dyDescent="0.3">
      <c r="A441">
        <v>0.73594720000000002</v>
      </c>
      <c r="B441">
        <v>12.314939499999999</v>
      </c>
      <c r="C441">
        <f t="shared" si="14"/>
        <v>11.135862077995908</v>
      </c>
      <c r="D441" s="3"/>
      <c r="E441" s="9">
        <v>0.25546851119227898</v>
      </c>
      <c r="F441" s="8">
        <v>7.40555573858376</v>
      </c>
      <c r="G441" s="1">
        <f t="shared" si="15"/>
        <v>7.8667748385837601</v>
      </c>
      <c r="I441" s="9">
        <v>0.72606870000000001</v>
      </c>
      <c r="J441" s="8">
        <v>11.017721999999999</v>
      </c>
      <c r="P441" s="9">
        <v>0.72853833000000001</v>
      </c>
      <c r="Q441" s="8">
        <v>11.008334</v>
      </c>
    </row>
    <row r="442" spans="1:17" x14ac:dyDescent="0.3">
      <c r="A442">
        <v>0.73841679999999998</v>
      </c>
      <c r="B442">
        <v>12.326867999999999</v>
      </c>
      <c r="C442">
        <f t="shared" si="14"/>
        <v>11.147790577995908</v>
      </c>
      <c r="D442" s="3"/>
      <c r="E442" s="9">
        <v>0.26282201920711501</v>
      </c>
      <c r="F442" s="8">
        <v>7.4984198826004098</v>
      </c>
      <c r="G442" s="1">
        <f t="shared" si="15"/>
        <v>7.9596389826004099</v>
      </c>
      <c r="I442" s="9">
        <v>0.72853833000000001</v>
      </c>
      <c r="J442" s="8">
        <v>11.029553</v>
      </c>
      <c r="P442" s="9">
        <v>0.73100792999999997</v>
      </c>
      <c r="Q442" s="8">
        <v>11.020132</v>
      </c>
    </row>
    <row r="443" spans="1:17" x14ac:dyDescent="0.3">
      <c r="A443">
        <v>0.74088644999999997</v>
      </c>
      <c r="B443">
        <v>12.338749999999999</v>
      </c>
      <c r="C443">
        <f t="shared" si="14"/>
        <v>11.159672577995908</v>
      </c>
      <c r="D443" s="3"/>
      <c r="E443" s="9">
        <v>0.27038719272108602</v>
      </c>
      <c r="F443" s="8">
        <v>7.5920798753365899</v>
      </c>
      <c r="G443" s="1">
        <f t="shared" si="15"/>
        <v>8.05329897533659</v>
      </c>
      <c r="I443" s="9">
        <v>0.73100792999999997</v>
      </c>
      <c r="J443" s="8">
        <v>11.041337</v>
      </c>
      <c r="P443" s="9">
        <v>0.73347759999999995</v>
      </c>
      <c r="Q443" s="8">
        <v>11.031881</v>
      </c>
    </row>
    <row r="444" spans="1:17" x14ac:dyDescent="0.3">
      <c r="A444">
        <v>0.74335605000000005</v>
      </c>
      <c r="B444">
        <v>12.350584</v>
      </c>
      <c r="C444">
        <f t="shared" si="14"/>
        <v>11.171506577995908</v>
      </c>
      <c r="D444" s="3"/>
      <c r="E444" s="9">
        <v>0.27817012437506899</v>
      </c>
      <c r="F444" s="8">
        <v>7.68651050037984</v>
      </c>
      <c r="G444" s="1">
        <f t="shared" si="15"/>
        <v>8.1477296003798401</v>
      </c>
      <c r="I444" s="9">
        <v>0.73347759999999995</v>
      </c>
      <c r="J444" s="8">
        <v>11.053070999999999</v>
      </c>
      <c r="P444" s="9">
        <v>0.73594720000000002</v>
      </c>
      <c r="Q444" s="8">
        <v>11.043582000000001</v>
      </c>
    </row>
    <row r="445" spans="1:17" x14ac:dyDescent="0.3">
      <c r="A445">
        <v>0.74582565000000001</v>
      </c>
      <c r="B445">
        <v>12.362372000000001</v>
      </c>
      <c r="C445">
        <f t="shared" si="14"/>
        <v>11.183294577995909</v>
      </c>
      <c r="D445" s="3"/>
      <c r="E445" s="9">
        <v>0.286177082182277</v>
      </c>
      <c r="F445" s="8">
        <v>7.7816854696310296</v>
      </c>
      <c r="G445" s="1">
        <f t="shared" si="15"/>
        <v>8.2429045696310297</v>
      </c>
      <c r="I445" s="9">
        <v>0.73594720000000002</v>
      </c>
      <c r="J445" s="8">
        <v>11.064755</v>
      </c>
      <c r="P445" s="9">
        <v>0.73841679999999998</v>
      </c>
      <c r="Q445" s="8">
        <v>11.055235</v>
      </c>
    </row>
    <row r="446" spans="1:17" x14ac:dyDescent="0.3">
      <c r="A446">
        <v>0.7482953</v>
      </c>
      <c r="B446">
        <v>12.374114000000001</v>
      </c>
      <c r="C446">
        <f t="shared" si="14"/>
        <v>11.195036577995909</v>
      </c>
      <c r="D446" s="3"/>
      <c r="E446" s="9">
        <v>0.29441451457622397</v>
      </c>
      <c r="F446" s="8">
        <v>7.8775774384997304</v>
      </c>
      <c r="G446" s="1">
        <f t="shared" si="15"/>
        <v>8.3387965384997305</v>
      </c>
      <c r="I446" s="9">
        <v>0.73841679999999998</v>
      </c>
      <c r="J446" s="8">
        <v>11.076392</v>
      </c>
      <c r="P446" s="9">
        <v>0.74088644999999997</v>
      </c>
      <c r="Q446" s="8">
        <v>11.066839999999999</v>
      </c>
    </row>
    <row r="447" spans="1:17" x14ac:dyDescent="0.3">
      <c r="A447">
        <v>0.75076489999999996</v>
      </c>
      <c r="B447">
        <v>12.385809</v>
      </c>
      <c r="C447">
        <f t="shared" si="14"/>
        <v>11.206731577995908</v>
      </c>
      <c r="D447" s="3"/>
      <c r="E447" s="9">
        <v>0.30288905560400198</v>
      </c>
      <c r="F447" s="8">
        <v>7.9741580232620999</v>
      </c>
      <c r="G447" s="1">
        <f t="shared" si="15"/>
        <v>8.4353771232621</v>
      </c>
      <c r="I447" s="9">
        <v>0.74088644999999997</v>
      </c>
      <c r="J447" s="8">
        <v>11.08798</v>
      </c>
      <c r="P447" s="9">
        <v>0.74335605000000005</v>
      </c>
      <c r="Q447" s="8">
        <v>11.078398</v>
      </c>
    </row>
    <row r="448" spans="1:17" x14ac:dyDescent="0.3">
      <c r="A448">
        <v>0.75323457000000005</v>
      </c>
      <c r="B448">
        <v>12.397459</v>
      </c>
      <c r="C448">
        <f t="shared" si="14"/>
        <v>11.218381577995908</v>
      </c>
      <c r="D448" s="3"/>
      <c r="E448" s="9">
        <v>0.31160753026902499</v>
      </c>
      <c r="F448" s="8">
        <v>8.0713978205704908</v>
      </c>
      <c r="G448" s="1">
        <f t="shared" si="15"/>
        <v>8.53261692057049</v>
      </c>
      <c r="I448" s="9">
        <v>0.74335605000000005</v>
      </c>
      <c r="J448" s="8">
        <v>11.099520999999999</v>
      </c>
      <c r="P448" s="9">
        <v>0.74582565000000001</v>
      </c>
      <c r="Q448" s="8">
        <v>11.089909</v>
      </c>
    </row>
    <row r="449" spans="1:17" x14ac:dyDescent="0.3">
      <c r="A449">
        <v>0.75570415999999996</v>
      </c>
      <c r="B449">
        <v>12.409062</v>
      </c>
      <c r="C449">
        <f t="shared" si="14"/>
        <v>11.229984577995909</v>
      </c>
      <c r="D449" s="3"/>
      <c r="E449" s="9">
        <v>0.32057696002758301</v>
      </c>
      <c r="F449" s="8">
        <v>8.1692664290991406</v>
      </c>
      <c r="G449" s="1">
        <f t="shared" si="15"/>
        <v>8.6304855290991398</v>
      </c>
      <c r="I449" s="9">
        <v>0.74582565000000001</v>
      </c>
      <c r="J449" s="8">
        <v>11.111012000000001</v>
      </c>
      <c r="P449" s="9">
        <v>0.7482953</v>
      </c>
      <c r="Q449" s="8">
        <v>11.101373000000001</v>
      </c>
    </row>
    <row r="450" spans="1:17" x14ac:dyDescent="0.3">
      <c r="A450">
        <v>0.75817376000000003</v>
      </c>
      <c r="B450">
        <v>12.420621000000001</v>
      </c>
      <c r="C450">
        <f t="shared" si="14"/>
        <v>11.241543577995909</v>
      </c>
      <c r="D450" s="3"/>
      <c r="E450" s="9">
        <v>0.32980456844358802</v>
      </c>
      <c r="F450" s="8">
        <v>8.2677324733077509</v>
      </c>
      <c r="G450" s="1">
        <f t="shared" si="15"/>
        <v>8.7289515733077501</v>
      </c>
      <c r="I450" s="9">
        <v>0.7482953</v>
      </c>
      <c r="J450" s="8">
        <v>11.122457000000001</v>
      </c>
      <c r="P450" s="9">
        <v>0.75076489999999996</v>
      </c>
      <c r="Q450" s="8">
        <v>11.11279</v>
      </c>
    </row>
    <row r="451" spans="1:17" x14ac:dyDescent="0.3">
      <c r="A451">
        <v>0.76064339999999997</v>
      </c>
      <c r="B451">
        <v>12.432134</v>
      </c>
      <c r="C451">
        <f t="shared" si="14"/>
        <v>11.253056577995908</v>
      </c>
      <c r="D451" s="3"/>
      <c r="E451" s="9">
        <v>0.33929778700610302</v>
      </c>
      <c r="F451" s="8">
        <v>8.3667636293019498</v>
      </c>
      <c r="G451" s="1">
        <f t="shared" si="15"/>
        <v>8.827982729301949</v>
      </c>
      <c r="I451" s="9">
        <v>0.75076489999999996</v>
      </c>
      <c r="J451" s="8">
        <v>11.133853999999999</v>
      </c>
      <c r="P451" s="9">
        <v>0.75323457000000005</v>
      </c>
      <c r="Q451" s="8">
        <v>11.124161000000001</v>
      </c>
    </row>
    <row r="452" spans="1:17" x14ac:dyDescent="0.3">
      <c r="A452">
        <v>0.76311300000000004</v>
      </c>
      <c r="B452">
        <v>12.443602</v>
      </c>
      <c r="C452">
        <f t="shared" ref="C452:C515" si="16">B452-2*PI()*1.68*(0.1187-0.007)</f>
        <v>11.264524577995909</v>
      </c>
      <c r="D452" s="3"/>
      <c r="E452" s="9">
        <v>0.34906426111432298</v>
      </c>
      <c r="F452" s="8">
        <v>8.4663266527671102</v>
      </c>
      <c r="G452" s="1">
        <f t="shared" ref="G452:G515" si="17">$B$3+F452</f>
        <v>8.9275457527671094</v>
      </c>
      <c r="I452" s="9">
        <v>0.75323457000000005</v>
      </c>
      <c r="J452" s="8">
        <v>11.145203</v>
      </c>
      <c r="P452" s="9">
        <v>0.75570415999999996</v>
      </c>
      <c r="Q452" s="8">
        <v>11.135486</v>
      </c>
    </row>
    <row r="453" spans="1:17" x14ac:dyDescent="0.3">
      <c r="A453">
        <v>0.7655826</v>
      </c>
      <c r="B453">
        <v>12.455026</v>
      </c>
      <c r="C453">
        <f t="shared" si="16"/>
        <v>11.275948577995909</v>
      </c>
      <c r="D453" s="3"/>
      <c r="E453" s="9">
        <v>0.35911185623481601</v>
      </c>
      <c r="F453" s="8">
        <v>8.5663874089496606</v>
      </c>
      <c r="G453" s="1">
        <f t="shared" si="17"/>
        <v>9.0276065089496598</v>
      </c>
      <c r="I453" s="9">
        <v>0.75570415999999996</v>
      </c>
      <c r="J453" s="8">
        <v>11.156504999999999</v>
      </c>
      <c r="P453" s="9">
        <v>0.75817376000000003</v>
      </c>
      <c r="Q453" s="8">
        <v>11.146765</v>
      </c>
    </row>
    <row r="454" spans="1:17" x14ac:dyDescent="0.3">
      <c r="A454">
        <v>0.76805230000000002</v>
      </c>
      <c r="B454">
        <v>12.466404000000001</v>
      </c>
      <c r="C454">
        <f t="shared" si="16"/>
        <v>11.287326577995909</v>
      </c>
      <c r="D454" s="3"/>
      <c r="E454" s="9">
        <v>0.36944866423601802</v>
      </c>
      <c r="F454" s="8">
        <v>8.6669109046582609</v>
      </c>
      <c r="G454" s="1">
        <f t="shared" si="17"/>
        <v>9.1281300046582601</v>
      </c>
      <c r="I454" s="9">
        <v>0.75817376000000003</v>
      </c>
      <c r="J454" s="8">
        <v>11.167759999999999</v>
      </c>
      <c r="P454" s="9">
        <v>0.76064339999999997</v>
      </c>
      <c r="Q454" s="8">
        <v>11.157997999999999</v>
      </c>
    </row>
    <row r="455" spans="1:17" x14ac:dyDescent="0.3">
      <c r="A455">
        <v>0.77052189999999998</v>
      </c>
      <c r="B455">
        <v>12.477738</v>
      </c>
      <c r="C455">
        <f t="shared" si="16"/>
        <v>11.298660577995909</v>
      </c>
      <c r="D455" s="3"/>
      <c r="E455" s="9">
        <v>0.38008300990504001</v>
      </c>
      <c r="F455" s="8">
        <v>8.7678613222548005</v>
      </c>
      <c r="G455" s="1">
        <f t="shared" si="17"/>
        <v>9.2290804222547997</v>
      </c>
      <c r="I455" s="9">
        <v>0.76064339999999997</v>
      </c>
      <c r="J455" s="8">
        <v>11.178967</v>
      </c>
      <c r="P455" s="9">
        <v>0.76311300000000004</v>
      </c>
      <c r="Q455" s="8">
        <v>11.169186</v>
      </c>
    </row>
    <row r="456" spans="1:17" x14ac:dyDescent="0.3">
      <c r="A456">
        <v>0.77299154000000003</v>
      </c>
      <c r="B456">
        <v>12.489029</v>
      </c>
      <c r="C456">
        <f t="shared" si="16"/>
        <v>11.309951577995909</v>
      </c>
      <c r="D456" s="3"/>
      <c r="E456" s="9">
        <v>0.39102345765207203</v>
      </c>
      <c r="F456" s="8">
        <v>8.8692020556037203</v>
      </c>
      <c r="G456" s="1">
        <f t="shared" si="17"/>
        <v>9.3304211556037195</v>
      </c>
      <c r="I456" s="9">
        <v>0.76311300000000004</v>
      </c>
      <c r="J456" s="8">
        <v>11.190128</v>
      </c>
      <c r="P456" s="9">
        <v>0.7655826</v>
      </c>
      <c r="Q456" s="8">
        <v>11.180327999999999</v>
      </c>
    </row>
    <row r="457" spans="1:17" x14ac:dyDescent="0.3">
      <c r="A457">
        <v>0.77546113999999999</v>
      </c>
      <c r="B457">
        <v>12.500275999999999</v>
      </c>
      <c r="C457">
        <f t="shared" si="16"/>
        <v>11.321198577995908</v>
      </c>
      <c r="D457" s="3"/>
      <c r="E457" s="9">
        <v>0.40227881840775997</v>
      </c>
      <c r="F457" s="8">
        <v>8.9708957479449793</v>
      </c>
      <c r="G457" s="1">
        <f t="shared" si="17"/>
        <v>9.4321148479449786</v>
      </c>
      <c r="I457" s="9">
        <v>0.7655826</v>
      </c>
      <c r="J457" s="8">
        <v>11.201243</v>
      </c>
      <c r="P457" s="9">
        <v>0.76805230000000002</v>
      </c>
      <c r="Q457" s="8">
        <v>11.191425000000001</v>
      </c>
    </row>
    <row r="458" spans="1:17" x14ac:dyDescent="0.3">
      <c r="A458">
        <v>0.77793073999999995</v>
      </c>
      <c r="B458">
        <v>12.511478</v>
      </c>
      <c r="C458">
        <f t="shared" si="16"/>
        <v>11.332400577995909</v>
      </c>
      <c r="D458" s="3"/>
      <c r="E458" s="9">
        <v>0.41385815671912501</v>
      </c>
      <c r="F458" s="8">
        <v>9.0729043316550104</v>
      </c>
      <c r="G458" s="1">
        <f t="shared" si="17"/>
        <v>9.5341234316550096</v>
      </c>
      <c r="I458" s="9">
        <v>0.76805230000000002</v>
      </c>
      <c r="J458" s="8">
        <v>11.212312000000001</v>
      </c>
      <c r="P458" s="9">
        <v>0.77052189999999998</v>
      </c>
      <c r="Q458" s="8">
        <v>11.202477999999999</v>
      </c>
    </row>
    <row r="459" spans="1:17" x14ac:dyDescent="0.3">
      <c r="A459">
        <v>0.78040039999999999</v>
      </c>
      <c r="B459">
        <v>12.522637</v>
      </c>
      <c r="C459">
        <f t="shared" si="16"/>
        <v>11.343559577995908</v>
      </c>
      <c r="D459" s="3"/>
      <c r="E459" s="9">
        <v>0.42577079804972501</v>
      </c>
      <c r="F459" s="8">
        <v>9.1751890698558203</v>
      </c>
      <c r="G459" s="1">
        <f t="shared" si="17"/>
        <v>9.6364081698558195</v>
      </c>
      <c r="I459" s="9">
        <v>0.77052189999999998</v>
      </c>
      <c r="J459" s="8">
        <v>11.223333</v>
      </c>
      <c r="P459" s="9">
        <v>0.77299154000000003</v>
      </c>
      <c r="Q459" s="8">
        <v>11.213486</v>
      </c>
    </row>
    <row r="460" spans="1:17" x14ac:dyDescent="0.3">
      <c r="A460">
        <v>0.78286999999999995</v>
      </c>
      <c r="B460">
        <v>12.533753000000001</v>
      </c>
      <c r="C460">
        <f t="shared" si="16"/>
        <v>11.354675577995909</v>
      </c>
      <c r="D460" s="3"/>
      <c r="E460" s="9">
        <v>0.43802633628995902</v>
      </c>
      <c r="F460" s="8">
        <v>9.2777105998307299</v>
      </c>
      <c r="G460" s="1">
        <f t="shared" si="17"/>
        <v>9.7389296998307291</v>
      </c>
      <c r="I460" s="9">
        <v>0.77299154000000003</v>
      </c>
      <c r="J460" s="8">
        <v>11.234309</v>
      </c>
      <c r="P460" s="9">
        <v>0.77546113999999999</v>
      </c>
      <c r="Q460" s="8">
        <v>11.224449999999999</v>
      </c>
    </row>
    <row r="461" spans="1:17" x14ac:dyDescent="0.3">
      <c r="A461">
        <v>0.78533960000000003</v>
      </c>
      <c r="B461">
        <v>12.544826499999999</v>
      </c>
      <c r="C461">
        <f t="shared" si="16"/>
        <v>11.365749077995908</v>
      </c>
      <c r="D461" s="3"/>
      <c r="E461" s="9">
        <v>0.45063464148353699</v>
      </c>
      <c r="F461" s="8">
        <v>9.3804289782005501</v>
      </c>
      <c r="G461" s="1">
        <f t="shared" si="17"/>
        <v>9.8416480782005493</v>
      </c>
      <c r="I461" s="9">
        <v>0.77546113999999999</v>
      </c>
      <c r="J461" s="8">
        <v>11.245238000000001</v>
      </c>
      <c r="P461" s="9">
        <v>0.77793073999999995</v>
      </c>
      <c r="Q461" s="8">
        <v>11.23537</v>
      </c>
    </row>
    <row r="462" spans="1:17" x14ac:dyDescent="0.3">
      <c r="A462">
        <v>0.78780925000000002</v>
      </c>
      <c r="B462">
        <v>12.555857</v>
      </c>
      <c r="C462">
        <f t="shared" si="16"/>
        <v>11.376779577995908</v>
      </c>
      <c r="D462" s="3"/>
      <c r="E462" s="9">
        <v>0.46360586777635798</v>
      </c>
      <c r="F462" s="8">
        <v>9.4833037278111192</v>
      </c>
      <c r="G462" s="1">
        <f t="shared" si="17"/>
        <v>9.9445228278111184</v>
      </c>
      <c r="I462" s="9">
        <v>0.77793073999999995</v>
      </c>
      <c r="J462" s="8">
        <v>11.256123000000001</v>
      </c>
      <c r="P462" s="9">
        <v>0.78040039999999999</v>
      </c>
      <c r="Q462" s="8">
        <v>11.246244000000001</v>
      </c>
    </row>
    <row r="463" spans="1:17" x14ac:dyDescent="0.3">
      <c r="A463">
        <v>0.79027884999999998</v>
      </c>
      <c r="B463">
        <v>12.566843</v>
      </c>
      <c r="C463">
        <f t="shared" si="16"/>
        <v>11.387765577995909</v>
      </c>
      <c r="D463" s="3"/>
      <c r="E463" s="9">
        <v>0.47695046159419102</v>
      </c>
      <c r="F463" s="8">
        <v>9.5862938862779394</v>
      </c>
      <c r="G463" s="1">
        <f t="shared" si="17"/>
        <v>10.047512986277939</v>
      </c>
      <c r="I463" s="9">
        <v>0.78040039999999999</v>
      </c>
      <c r="J463" s="8">
        <v>11.266959999999999</v>
      </c>
      <c r="P463" s="9">
        <v>0.78286999999999995</v>
      </c>
      <c r="Q463" s="8">
        <v>11.257076</v>
      </c>
    </row>
    <row r="464" spans="1:17" x14ac:dyDescent="0.3">
      <c r="A464">
        <v>0.79274849999999997</v>
      </c>
      <c r="B464">
        <v>12.577788</v>
      </c>
      <c r="C464">
        <f t="shared" si="16"/>
        <v>11.398710577995908</v>
      </c>
      <c r="D464" s="3"/>
      <c r="E464" s="9">
        <v>0.49067917005574202</v>
      </c>
      <c r="F464" s="8">
        <v>9.6893580561296204</v>
      </c>
      <c r="G464" s="1">
        <f t="shared" si="17"/>
        <v>10.15057715612962</v>
      </c>
      <c r="I464" s="9">
        <v>0.78286999999999995</v>
      </c>
      <c r="J464" s="8">
        <v>11.277753000000001</v>
      </c>
      <c r="P464" s="9">
        <v>0.78533960000000003</v>
      </c>
      <c r="Q464" s="8">
        <v>11.267865</v>
      </c>
    </row>
    <row r="465" spans="1:17" x14ac:dyDescent="0.3">
      <c r="A465">
        <v>0.79521810000000004</v>
      </c>
      <c r="B465">
        <v>12.58869</v>
      </c>
      <c r="C465">
        <f t="shared" si="16"/>
        <v>11.409612577995908</v>
      </c>
      <c r="D465" s="3"/>
      <c r="E465" s="9">
        <v>0.50480304962788802</v>
      </c>
      <c r="F465" s="8">
        <v>9.7924544564852791</v>
      </c>
      <c r="G465" s="1">
        <f t="shared" si="17"/>
        <v>10.253673556485278</v>
      </c>
      <c r="I465" s="9">
        <v>0.78533960000000003</v>
      </c>
      <c r="J465" s="8">
        <v>11.288500000000001</v>
      </c>
      <c r="P465" s="9">
        <v>0.78780925000000002</v>
      </c>
      <c r="Q465" s="8">
        <v>11.278608999999999</v>
      </c>
    </row>
    <row r="466" spans="1:17" x14ac:dyDescent="0.3">
      <c r="A466">
        <v>0.7976877</v>
      </c>
      <c r="B466">
        <v>12.599550000000001</v>
      </c>
      <c r="C466">
        <f t="shared" si="16"/>
        <v>11.420472577995909</v>
      </c>
      <c r="D466" s="3"/>
      <c r="E466" s="9">
        <v>0.51933347503004101</v>
      </c>
      <c r="F466" s="8">
        <v>9.8955409761967292</v>
      </c>
      <c r="G466" s="1">
        <f t="shared" si="17"/>
        <v>10.356760076196728</v>
      </c>
      <c r="I466" s="9">
        <v>0.78780925000000002</v>
      </c>
      <c r="J466" s="8">
        <v>11.299201999999999</v>
      </c>
      <c r="P466" s="9">
        <v>0.79027884999999998</v>
      </c>
      <c r="Q466" s="8">
        <v>11.289311</v>
      </c>
    </row>
    <row r="467" spans="1:17" x14ac:dyDescent="0.3">
      <c r="A467">
        <v>0.80015736999999998</v>
      </c>
      <c r="B467">
        <v>12.610367999999999</v>
      </c>
      <c r="C467">
        <f t="shared" si="16"/>
        <v>11.431290577995908</v>
      </c>
      <c r="D467" s="3"/>
      <c r="E467" s="9">
        <v>0.53428214839482302</v>
      </c>
      <c r="F467" s="8">
        <v>9.9985752283786198</v>
      </c>
      <c r="G467" s="1">
        <f t="shared" si="17"/>
        <v>10.459794328378619</v>
      </c>
      <c r="I467" s="9">
        <v>0.79027884999999998</v>
      </c>
      <c r="J467" s="8">
        <v>11.309858</v>
      </c>
      <c r="P467" s="9">
        <v>0.79274849999999997</v>
      </c>
      <c r="Q467" s="8">
        <v>11.29997</v>
      </c>
    </row>
    <row r="468" spans="1:17" x14ac:dyDescent="0.3">
      <c r="A468">
        <v>0.80262697000000005</v>
      </c>
      <c r="B468">
        <v>12.621143999999999</v>
      </c>
      <c r="C468">
        <f t="shared" si="16"/>
        <v>11.442066577995908</v>
      </c>
      <c r="D468" s="3"/>
      <c r="E468" s="9">
        <v>0.54966110869242302</v>
      </c>
      <c r="F468" s="8">
        <v>10.1015146062442</v>
      </c>
      <c r="G468" s="1">
        <f t="shared" si="17"/>
        <v>10.562733706244199</v>
      </c>
      <c r="I468" s="9">
        <v>0.79274849999999997</v>
      </c>
      <c r="J468" s="8">
        <v>11.320477500000001</v>
      </c>
      <c r="P468" s="9">
        <v>0.79521810000000004</v>
      </c>
      <c r="Q468" s="8">
        <v>11.310586000000001</v>
      </c>
    </row>
    <row r="469" spans="1:17" x14ac:dyDescent="0.3">
      <c r="A469">
        <v>0.80509657000000001</v>
      </c>
      <c r="B469">
        <v>12.631878</v>
      </c>
      <c r="C469">
        <f t="shared" si="16"/>
        <v>11.452800577995909</v>
      </c>
      <c r="D469" s="3"/>
      <c r="E469" s="9">
        <v>0.56548274142622501</v>
      </c>
      <c r="F469" s="8">
        <v>10.204316340157</v>
      </c>
      <c r="G469" s="1">
        <f t="shared" si="17"/>
        <v>10.665535440156999</v>
      </c>
      <c r="I469" s="9">
        <v>0.79521810000000004</v>
      </c>
      <c r="J469" s="8">
        <v>11.331084000000001</v>
      </c>
      <c r="P469" s="9">
        <v>0.7976877</v>
      </c>
      <c r="Q469" s="8">
        <v>11.321159</v>
      </c>
    </row>
    <row r="470" spans="1:17" x14ac:dyDescent="0.3">
      <c r="A470">
        <v>0.80756620000000001</v>
      </c>
      <c r="B470">
        <v>12.642574</v>
      </c>
      <c r="C470">
        <f t="shared" si="16"/>
        <v>11.463496577995908</v>
      </c>
      <c r="D470" s="3"/>
      <c r="E470" s="9">
        <v>0.58175978860752198</v>
      </c>
      <c r="F470" s="8">
        <v>10.3069375558002</v>
      </c>
      <c r="G470" s="1">
        <f t="shared" si="17"/>
        <v>10.768156655800199</v>
      </c>
      <c r="I470" s="9">
        <v>0.7976877</v>
      </c>
      <c r="J470" s="8">
        <v>11.341649</v>
      </c>
      <c r="P470" s="9">
        <v>0.80015736999999998</v>
      </c>
      <c r="Q470" s="8">
        <v>11.33169</v>
      </c>
    </row>
    <row r="471" spans="1:17" x14ac:dyDescent="0.3">
      <c r="A471">
        <v>0.81003579999999997</v>
      </c>
      <c r="B471">
        <v>12.653237000000001</v>
      </c>
      <c r="C471">
        <f t="shared" si="16"/>
        <v>11.474159577995909</v>
      </c>
      <c r="D471" s="3"/>
      <c r="E471" s="9">
        <v>0.59850535901733903</v>
      </c>
      <c r="F471" s="8">
        <v>10.409335333362099</v>
      </c>
      <c r="G471" s="1">
        <f t="shared" si="17"/>
        <v>10.870554433362098</v>
      </c>
      <c r="I471" s="9">
        <v>0.80015736999999998</v>
      </c>
      <c r="J471" s="8">
        <v>11.352173000000001</v>
      </c>
      <c r="P471" s="9">
        <v>0.80262697000000005</v>
      </c>
      <c r="Q471" s="8">
        <v>11.342178000000001</v>
      </c>
    </row>
    <row r="472" spans="1:17" x14ac:dyDescent="0.3">
      <c r="A472">
        <v>0.81250540000000004</v>
      </c>
      <c r="B472">
        <v>12.663859</v>
      </c>
      <c r="C472">
        <f t="shared" si="16"/>
        <v>11.484781577995909</v>
      </c>
      <c r="D472" s="3"/>
      <c r="E472" s="9">
        <v>0.61573293876364399</v>
      </c>
      <c r="F472" s="8">
        <v>10.511466767623199</v>
      </c>
      <c r="G472" s="1">
        <f t="shared" si="17"/>
        <v>10.972685867623198</v>
      </c>
      <c r="I472" s="9">
        <v>0.80262697000000005</v>
      </c>
      <c r="J472" s="8">
        <v>11.362655</v>
      </c>
      <c r="P472" s="9">
        <v>0.80509657000000001</v>
      </c>
      <c r="Q472" s="8">
        <v>11.352625</v>
      </c>
    </row>
    <row r="473" spans="1:17" x14ac:dyDescent="0.3">
      <c r="A473">
        <v>0.81497509999999995</v>
      </c>
      <c r="B473">
        <v>12.674442000000001</v>
      </c>
      <c r="C473">
        <f t="shared" si="16"/>
        <v>11.495364577995909</v>
      </c>
      <c r="D473" s="3"/>
      <c r="E473" s="9">
        <v>0.63345640214243104</v>
      </c>
      <c r="F473" s="8">
        <v>10.6132890288276</v>
      </c>
      <c r="G473" s="1">
        <f t="shared" si="17"/>
        <v>11.074508128827599</v>
      </c>
      <c r="I473" s="9">
        <v>0.80509657000000001</v>
      </c>
      <c r="J473" s="8">
        <v>11.373096</v>
      </c>
      <c r="P473" s="9">
        <v>0.80756620000000001</v>
      </c>
      <c r="Q473" s="8">
        <v>11.363047</v>
      </c>
    </row>
    <row r="474" spans="1:17" x14ac:dyDescent="0.3">
      <c r="A474">
        <v>0.81744470000000002</v>
      </c>
      <c r="B474">
        <v>12.684984999999999</v>
      </c>
      <c r="C474">
        <f t="shared" si="16"/>
        <v>11.505907577995908</v>
      </c>
      <c r="D474" s="3"/>
      <c r="E474" s="9">
        <v>0.65169002281143895</v>
      </c>
      <c r="F474" s="8">
        <v>10.714759424211399</v>
      </c>
      <c r="G474" s="1">
        <f t="shared" si="17"/>
        <v>11.175978524211398</v>
      </c>
      <c r="I474" s="9">
        <v>0.80756620000000001</v>
      </c>
      <c r="J474" s="8">
        <v>11.383497</v>
      </c>
      <c r="P474" s="9">
        <v>0.81003579999999997</v>
      </c>
      <c r="Q474" s="8">
        <v>11.373429</v>
      </c>
    </row>
    <row r="475" spans="1:17" x14ac:dyDescent="0.3">
      <c r="A475">
        <v>0.81991433999999996</v>
      </c>
      <c r="B475">
        <v>12.695489</v>
      </c>
      <c r="C475">
        <f t="shared" si="16"/>
        <v>11.516411577995909</v>
      </c>
      <c r="D475" s="3"/>
      <c r="E475" s="9">
        <v>0.67044848528549295</v>
      </c>
      <c r="F475" s="8">
        <v>10.815835460054901</v>
      </c>
      <c r="G475" s="1">
        <f t="shared" si="17"/>
        <v>11.2770545600549</v>
      </c>
      <c r="I475" s="9">
        <v>0.81003579999999997</v>
      </c>
      <c r="J475" s="8">
        <v>11.393857000000001</v>
      </c>
      <c r="P475" s="9">
        <v>0.81250540000000004</v>
      </c>
      <c r="Q475" s="8">
        <v>11.383770999999999</v>
      </c>
    </row>
    <row r="476" spans="1:17" x14ac:dyDescent="0.3">
      <c r="A476">
        <v>0.82238394000000004</v>
      </c>
      <c r="B476">
        <v>12.705952999999999</v>
      </c>
      <c r="C476">
        <f t="shared" si="16"/>
        <v>11.526875577995908</v>
      </c>
      <c r="D476" s="3"/>
      <c r="E476" s="9">
        <v>0.68974689676273804</v>
      </c>
      <c r="F476" s="8">
        <v>10.916474904118299</v>
      </c>
      <c r="G476" s="1">
        <f t="shared" si="17"/>
        <v>11.377694004118299</v>
      </c>
      <c r="I476" s="9">
        <v>0.81250540000000004</v>
      </c>
      <c r="J476" s="8">
        <v>11.404177000000001</v>
      </c>
      <c r="P476" s="9">
        <v>0.81497509999999995</v>
      </c>
      <c r="Q476" s="8">
        <v>11.394073499999999</v>
      </c>
    </row>
    <row r="477" spans="1:17" x14ac:dyDescent="0.3">
      <c r="A477">
        <v>0.82485354</v>
      </c>
      <c r="B477">
        <v>12.716377</v>
      </c>
      <c r="C477">
        <f t="shared" si="16"/>
        <v>11.537299577995908</v>
      </c>
      <c r="D477" s="3"/>
      <c r="E477" s="9">
        <v>0.70960079929127395</v>
      </c>
      <c r="F477" s="8">
        <v>11.016635848312999</v>
      </c>
      <c r="G477" s="1">
        <f t="shared" si="17"/>
        <v>11.477854948312999</v>
      </c>
      <c r="I477" s="9">
        <v>0.81497509999999995</v>
      </c>
      <c r="J477" s="8">
        <v>11.414455999999999</v>
      </c>
      <c r="P477" s="9">
        <v>0.81744470000000002</v>
      </c>
      <c r="Q477" s="8">
        <v>11.404336000000001</v>
      </c>
    </row>
    <row r="478" spans="1:17" x14ac:dyDescent="0.3">
      <c r="A478">
        <v>0.82732320000000004</v>
      </c>
      <c r="B478">
        <v>12.726763999999999</v>
      </c>
      <c r="C478">
        <f t="shared" si="16"/>
        <v>11.547686577995908</v>
      </c>
      <c r="D478" s="3"/>
      <c r="E478" s="9">
        <v>0.73002618228600302</v>
      </c>
      <c r="F478" s="8">
        <v>11.116276771456899</v>
      </c>
      <c r="G478" s="1">
        <f t="shared" si="17"/>
        <v>11.577495871456899</v>
      </c>
      <c r="I478" s="9">
        <v>0.81744470000000002</v>
      </c>
      <c r="J478" s="8">
        <v>11.424696000000001</v>
      </c>
      <c r="P478" s="9">
        <v>0.81991433999999996</v>
      </c>
      <c r="Q478" s="8">
        <v>11.414559000000001</v>
      </c>
    </row>
    <row r="479" spans="1:17" x14ac:dyDescent="0.3">
      <c r="A479">
        <v>0.8297928</v>
      </c>
      <c r="B479">
        <v>12.737111000000001</v>
      </c>
      <c r="C479">
        <f t="shared" si="16"/>
        <v>11.558033577995909</v>
      </c>
      <c r="D479" s="3"/>
      <c r="E479" s="9">
        <v>0.75103949540576398</v>
      </c>
      <c r="F479" s="8">
        <v>11.2153566019529</v>
      </c>
      <c r="G479" s="1">
        <f t="shared" si="17"/>
        <v>11.676575701952899</v>
      </c>
      <c r="I479" s="9">
        <v>0.81991433999999996</v>
      </c>
      <c r="J479" s="8">
        <v>11.434896</v>
      </c>
      <c r="P479" s="9">
        <v>0.82238394000000004</v>
      </c>
      <c r="Q479" s="8">
        <v>11.424745</v>
      </c>
    </row>
    <row r="480" spans="1:17" x14ac:dyDescent="0.3">
      <c r="A480">
        <v>0.83226239999999996</v>
      </c>
      <c r="B480">
        <v>12.747419000000001</v>
      </c>
      <c r="C480">
        <f t="shared" si="16"/>
        <v>11.568341577995909</v>
      </c>
      <c r="D480" s="3"/>
      <c r="E480" s="9">
        <v>0.77265766180113105</v>
      </c>
      <c r="F480" s="8">
        <v>11.313834780229</v>
      </c>
      <c r="G480" s="1">
        <f t="shared" si="17"/>
        <v>11.775053880228999</v>
      </c>
      <c r="I480" s="9">
        <v>0.82238394000000004</v>
      </c>
      <c r="J480" s="8">
        <v>11.445057</v>
      </c>
      <c r="P480" s="9">
        <v>0.82485354</v>
      </c>
      <c r="Q480" s="8">
        <v>11.434889999999999</v>
      </c>
    </row>
    <row r="481" spans="1:17" x14ac:dyDescent="0.3">
      <c r="A481">
        <v>0.83473206</v>
      </c>
      <c r="B481">
        <v>12.757688999999999</v>
      </c>
      <c r="C481">
        <f t="shared" si="16"/>
        <v>11.578611577995908</v>
      </c>
      <c r="D481" s="3"/>
      <c r="E481" s="9">
        <v>0.79489809174353099</v>
      </c>
      <c r="F481" s="8">
        <v>11.411671320770401</v>
      </c>
      <c r="G481" s="1">
        <f t="shared" si="17"/>
        <v>11.8728904207704</v>
      </c>
      <c r="I481" s="9">
        <v>0.82485354</v>
      </c>
      <c r="J481" s="8">
        <v>11.455177000000001</v>
      </c>
      <c r="P481" s="9">
        <v>0.82732320000000004</v>
      </c>
      <c r="Q481" s="8">
        <v>11.444998</v>
      </c>
    </row>
    <row r="482" spans="1:17" x14ac:dyDescent="0.3">
      <c r="A482">
        <v>0.83720165000000002</v>
      </c>
      <c r="B482">
        <v>12.767920999999999</v>
      </c>
      <c r="C482">
        <f t="shared" si="16"/>
        <v>11.588843577995908</v>
      </c>
      <c r="D482" s="3"/>
      <c r="E482" s="9">
        <v>0.81777869664667402</v>
      </c>
      <c r="F482" s="8">
        <v>11.508826873571699</v>
      </c>
      <c r="G482" s="1">
        <f t="shared" si="17"/>
        <v>11.970045973571699</v>
      </c>
      <c r="I482" s="9">
        <v>0.82732320000000004</v>
      </c>
      <c r="J482" s="8">
        <v>11.465260000000001</v>
      </c>
      <c r="P482" s="9">
        <v>0.8297928</v>
      </c>
      <c r="Q482" s="8">
        <v>11.455067</v>
      </c>
    </row>
    <row r="483" spans="1:17" x14ac:dyDescent="0.3">
      <c r="A483">
        <v>0.83967130000000001</v>
      </c>
      <c r="B483">
        <v>12.778115</v>
      </c>
      <c r="C483">
        <f t="shared" si="16"/>
        <v>11.599037577995908</v>
      </c>
      <c r="D483" s="3"/>
      <c r="E483" s="9">
        <v>0.84131790349157898</v>
      </c>
      <c r="F483" s="8">
        <v>11.6052627848347</v>
      </c>
      <c r="G483" s="1">
        <f t="shared" si="17"/>
        <v>12.066481884834699</v>
      </c>
      <c r="I483" s="9">
        <v>0.8297928</v>
      </c>
      <c r="J483" s="8">
        <v>11.475303</v>
      </c>
      <c r="P483" s="9">
        <v>0.83226239999999996</v>
      </c>
      <c r="Q483" s="8">
        <v>11.465097</v>
      </c>
    </row>
    <row r="484" spans="1:17" x14ac:dyDescent="0.3">
      <c r="A484">
        <v>0.84214089999999997</v>
      </c>
      <c r="B484">
        <v>12.788271999999999</v>
      </c>
      <c r="C484">
        <f t="shared" si="16"/>
        <v>11.609194577995908</v>
      </c>
      <c r="D484" s="3"/>
      <c r="E484" s="9">
        <v>0.86553466966680503</v>
      </c>
      <c r="F484" s="8">
        <v>11.700941156734499</v>
      </c>
      <c r="G484" s="1">
        <f t="shared" si="17"/>
        <v>12.162160256734499</v>
      </c>
      <c r="I484" s="9">
        <v>0.83226239999999996</v>
      </c>
      <c r="J484" s="8">
        <v>11.485307000000001</v>
      </c>
      <c r="P484" s="9">
        <v>0.83473206</v>
      </c>
      <c r="Q484" s="8">
        <v>11.47509</v>
      </c>
    </row>
    <row r="485" spans="1:17" x14ac:dyDescent="0.3">
      <c r="A485">
        <v>0.84461050000000004</v>
      </c>
      <c r="B485">
        <v>12.798389999999999</v>
      </c>
      <c r="C485">
        <f t="shared" si="16"/>
        <v>11.619312577995908</v>
      </c>
      <c r="D485" s="3"/>
      <c r="E485" s="9">
        <v>0.89044849823586703</v>
      </c>
      <c r="F485" s="8">
        <v>11.795824906074399</v>
      </c>
      <c r="G485" s="1">
        <f t="shared" si="17"/>
        <v>12.257044006074398</v>
      </c>
      <c r="I485" s="9">
        <v>0.83473206</v>
      </c>
      <c r="J485" s="8">
        <v>11.495272999999999</v>
      </c>
      <c r="P485" s="9">
        <v>0.83720165000000002</v>
      </c>
      <c r="Q485" s="8">
        <v>11.485045</v>
      </c>
    </row>
    <row r="486" spans="1:17" x14ac:dyDescent="0.3">
      <c r="A486">
        <v>0.84708019999999995</v>
      </c>
      <c r="B486">
        <v>12.808471000000001</v>
      </c>
      <c r="C486">
        <f t="shared" si="16"/>
        <v>11.629393577995909</v>
      </c>
      <c r="D486" s="3"/>
      <c r="E486" s="9">
        <v>0.91607945364408905</v>
      </c>
      <c r="F486" s="8">
        <v>11.8898778216516</v>
      </c>
      <c r="G486" s="1">
        <f t="shared" si="17"/>
        <v>12.3510969216516</v>
      </c>
      <c r="I486" s="9">
        <v>0.83720165000000002</v>
      </c>
      <c r="J486" s="8">
        <v>11.5052</v>
      </c>
      <c r="P486" s="9">
        <v>0.83967130000000001</v>
      </c>
      <c r="Q486" s="8">
        <v>11.494963</v>
      </c>
    </row>
    <row r="487" spans="1:17" x14ac:dyDescent="0.3">
      <c r="A487">
        <v>0.84954980000000002</v>
      </c>
      <c r="B487">
        <v>12.818514</v>
      </c>
      <c r="C487">
        <f t="shared" si="16"/>
        <v>11.639436577995909</v>
      </c>
      <c r="D487" s="3"/>
      <c r="E487" s="9">
        <v>0.94244817787758906</v>
      </c>
      <c r="F487" s="8">
        <v>11.9830646201526</v>
      </c>
      <c r="G487" s="1">
        <f t="shared" si="17"/>
        <v>12.444283720152599</v>
      </c>
      <c r="I487" s="9">
        <v>0.83967130000000001</v>
      </c>
      <c r="J487" s="8">
        <v>11.515090000000001</v>
      </c>
      <c r="P487" s="9">
        <v>0.84214089999999997</v>
      </c>
      <c r="Q487" s="8">
        <v>11.504842999999999</v>
      </c>
    </row>
    <row r="488" spans="1:17" x14ac:dyDescent="0.3">
      <c r="A488">
        <v>0.85201937000000005</v>
      </c>
      <c r="B488">
        <v>12.828519999999999</v>
      </c>
      <c r="C488">
        <f t="shared" si="16"/>
        <v>11.649442577995908</v>
      </c>
      <c r="D488" s="3"/>
      <c r="E488" s="9">
        <v>0.96957590708737595</v>
      </c>
      <c r="F488" s="8">
        <v>12.0753510004022</v>
      </c>
      <c r="G488" s="1">
        <f t="shared" si="17"/>
        <v>12.5365701004022</v>
      </c>
      <c r="I488" s="9">
        <v>0.84214089999999997</v>
      </c>
      <c r="J488" s="8">
        <v>11.524941</v>
      </c>
      <c r="P488" s="9">
        <v>0.84461050000000004</v>
      </c>
      <c r="Q488" s="8">
        <v>11.514685999999999</v>
      </c>
    </row>
    <row r="489" spans="1:17" x14ac:dyDescent="0.3">
      <c r="A489">
        <v>0.85448900000000005</v>
      </c>
      <c r="B489">
        <v>12.83849</v>
      </c>
      <c r="C489">
        <f t="shared" si="16"/>
        <v>11.659412577995909</v>
      </c>
      <c r="D489" s="3"/>
      <c r="E489" s="9">
        <v>0.99748448869196404</v>
      </c>
      <c r="F489" s="8">
        <v>12.166703695789</v>
      </c>
      <c r="G489" s="1">
        <f t="shared" si="17"/>
        <v>12.627922795788999</v>
      </c>
      <c r="I489" s="9">
        <v>0.84461050000000004</v>
      </c>
      <c r="J489" s="8">
        <v>11.534755000000001</v>
      </c>
      <c r="P489" s="9">
        <v>0.84708019999999995</v>
      </c>
      <c r="Q489" s="8">
        <v>11.524492</v>
      </c>
    </row>
    <row r="490" spans="1:17" x14ac:dyDescent="0.3">
      <c r="A490">
        <v>0.85695860000000001</v>
      </c>
      <c r="B490">
        <v>12.848421</v>
      </c>
      <c r="C490">
        <f t="shared" si="16"/>
        <v>11.669343577995908</v>
      </c>
      <c r="D490" s="3"/>
      <c r="E490" s="9">
        <v>1.02619639897227</v>
      </c>
      <c r="F490" s="8">
        <v>12.257090524693499</v>
      </c>
      <c r="G490" s="1">
        <f t="shared" si="17"/>
        <v>12.718309624693498</v>
      </c>
      <c r="I490" s="9">
        <v>0.84708019999999995</v>
      </c>
      <c r="J490" s="8">
        <v>11.544530999999999</v>
      </c>
      <c r="P490" s="9">
        <v>0.84954980000000002</v>
      </c>
      <c r="Q490" s="8">
        <v>11.534262</v>
      </c>
    </row>
    <row r="491" spans="1:17" x14ac:dyDescent="0.3">
      <c r="A491">
        <v>0.85942830000000003</v>
      </c>
      <c r="B491">
        <v>12.858316</v>
      </c>
      <c r="C491">
        <f t="shared" si="16"/>
        <v>11.679238577995909</v>
      </c>
      <c r="D491" s="3"/>
      <c r="E491" s="9">
        <v>1.0557347611729899</v>
      </c>
      <c r="F491" s="8">
        <v>12.3464804387506</v>
      </c>
      <c r="G491" s="1">
        <f t="shared" si="17"/>
        <v>12.807699538750599</v>
      </c>
      <c r="I491" s="9">
        <v>0.84954980000000002</v>
      </c>
      <c r="J491" s="8">
        <v>11.554269</v>
      </c>
      <c r="P491" s="9">
        <v>0.85201937000000005</v>
      </c>
      <c r="Q491" s="8">
        <v>11.543995000000001</v>
      </c>
    </row>
    <row r="492" spans="1:17" x14ac:dyDescent="0.3">
      <c r="A492">
        <v>0.86189789999999999</v>
      </c>
      <c r="B492">
        <v>12.8681755</v>
      </c>
      <c r="C492">
        <f t="shared" si="16"/>
        <v>11.689098077995908</v>
      </c>
      <c r="D492" s="3"/>
      <c r="E492" s="9">
        <v>1.0861233641249499</v>
      </c>
      <c r="F492" s="8">
        <v>12.434843568781501</v>
      </c>
      <c r="G492" s="1">
        <f t="shared" si="17"/>
        <v>12.8960626687815</v>
      </c>
      <c r="I492" s="9">
        <v>0.85201937000000005</v>
      </c>
      <c r="J492" s="8">
        <v>11.563971</v>
      </c>
      <c r="P492" s="9">
        <v>0.85448900000000005</v>
      </c>
      <c r="Q492" s="8">
        <v>11.553692</v>
      </c>
    </row>
    <row r="493" spans="1:17" x14ac:dyDescent="0.3">
      <c r="A493">
        <v>0.86436749999999996</v>
      </c>
      <c r="B493">
        <v>12.877997000000001</v>
      </c>
      <c r="C493">
        <f t="shared" si="16"/>
        <v>11.698919577995909</v>
      </c>
      <c r="D493" s="3"/>
      <c r="E493" s="9">
        <v>1.11738668140358</v>
      </c>
      <c r="F493" s="8">
        <v>12.522151268234101</v>
      </c>
      <c r="G493" s="1">
        <f t="shared" si="17"/>
        <v>12.9833703682341</v>
      </c>
      <c r="I493" s="9">
        <v>0.85448900000000005</v>
      </c>
      <c r="J493" s="8">
        <v>11.573634</v>
      </c>
      <c r="P493" s="9">
        <v>0.85695860000000001</v>
      </c>
      <c r="Q493" s="8">
        <v>11.563352</v>
      </c>
    </row>
    <row r="494" spans="1:17" x14ac:dyDescent="0.3">
      <c r="A494">
        <v>0.86683714000000001</v>
      </c>
      <c r="B494">
        <v>12.887783000000001</v>
      </c>
      <c r="C494">
        <f t="shared" si="16"/>
        <v>11.708705577995909</v>
      </c>
      <c r="D494" s="3"/>
      <c r="E494" s="9">
        <v>1.14954989103876</v>
      </c>
      <c r="F494" s="8">
        <v>12.608376153981901</v>
      </c>
      <c r="G494" s="1">
        <f t="shared" si="17"/>
        <v>13.0695952539819</v>
      </c>
      <c r="I494" s="9">
        <v>0.85695860000000001</v>
      </c>
      <c r="J494" s="8">
        <v>11.583261500000001</v>
      </c>
      <c r="P494" s="9">
        <v>0.85942830000000003</v>
      </c>
      <c r="Q494" s="8">
        <v>11.572976000000001</v>
      </c>
    </row>
    <row r="495" spans="1:17" x14ac:dyDescent="0.3">
      <c r="A495">
        <v>0.86930673999999997</v>
      </c>
      <c r="B495">
        <v>12.897532</v>
      </c>
      <c r="C495">
        <f t="shared" si="16"/>
        <v>11.718454577995908</v>
      </c>
      <c r="D495" s="3"/>
      <c r="E495" s="9">
        <v>1.1826388957920599</v>
      </c>
      <c r="F495" s="8">
        <v>12.693492144333</v>
      </c>
      <c r="G495" s="1">
        <f t="shared" si="17"/>
        <v>13.154711244332999</v>
      </c>
      <c r="I495" s="9">
        <v>0.85942830000000003</v>
      </c>
      <c r="J495" s="8">
        <v>11.592852000000001</v>
      </c>
      <c r="P495" s="9">
        <v>0.86189789999999999</v>
      </c>
      <c r="Q495" s="8">
        <v>11.582565000000001</v>
      </c>
    </row>
    <row r="496" spans="1:17" x14ac:dyDescent="0.3">
      <c r="A496">
        <v>0.87177634000000004</v>
      </c>
      <c r="B496">
        <v>12.907247</v>
      </c>
      <c r="C496">
        <f t="shared" si="16"/>
        <v>11.728169577995908</v>
      </c>
      <c r="D496" s="3"/>
      <c r="E496" s="9">
        <v>1.2166803440176199</v>
      </c>
      <c r="F496" s="8">
        <v>12.7774744941153</v>
      </c>
      <c r="G496" s="1">
        <f t="shared" si="17"/>
        <v>13.238693594115299</v>
      </c>
      <c r="I496" s="9">
        <v>0.86189789999999999</v>
      </c>
      <c r="J496" s="8">
        <v>11.602406</v>
      </c>
      <c r="P496" s="9">
        <v>0.86436749999999996</v>
      </c>
      <c r="Q496" s="8">
        <v>11.592117999999999</v>
      </c>
    </row>
    <row r="497" spans="1:17" x14ac:dyDescent="0.3">
      <c r="A497">
        <v>0.87424599999999997</v>
      </c>
      <c r="B497">
        <v>12.916923499999999</v>
      </c>
      <c r="C497">
        <f t="shared" si="16"/>
        <v>11.737846077995908</v>
      </c>
      <c r="D497" s="3"/>
      <c r="E497" s="9">
        <v>1.2517016511235199</v>
      </c>
      <c r="F497" s="8">
        <v>12.860299826706401</v>
      </c>
      <c r="G497" s="1">
        <f t="shared" si="17"/>
        <v>13.3215189267064</v>
      </c>
      <c r="I497" s="9">
        <v>0.86436749999999996</v>
      </c>
      <c r="J497" s="8">
        <v>11.611923000000001</v>
      </c>
      <c r="P497" s="9">
        <v>0.86683714000000001</v>
      </c>
      <c r="Q497" s="8">
        <v>11.601637</v>
      </c>
    </row>
    <row r="498" spans="1:17" x14ac:dyDescent="0.3">
      <c r="A498">
        <v>0.87671560000000004</v>
      </c>
      <c r="B498">
        <v>12.926565999999999</v>
      </c>
      <c r="C498">
        <f t="shared" si="16"/>
        <v>11.747488577995908</v>
      </c>
      <c r="D498" s="3"/>
      <c r="E498" s="9">
        <v>1.28773102165084</v>
      </c>
      <c r="F498" s="8">
        <v>12.941946162893201</v>
      </c>
      <c r="G498" s="1">
        <f t="shared" si="17"/>
        <v>13.4031652628932</v>
      </c>
      <c r="I498" s="9">
        <v>0.86683714000000001</v>
      </c>
      <c r="J498" s="8">
        <v>11.621404999999999</v>
      </c>
      <c r="P498" s="9">
        <v>0.86930673999999997</v>
      </c>
      <c r="Q498" s="8">
        <v>11.611119</v>
      </c>
    </row>
    <row r="499" spans="1:17" x14ac:dyDescent="0.3">
      <c r="A499">
        <v>0.87918525999999997</v>
      </c>
      <c r="B499">
        <v>12.936171999999999</v>
      </c>
      <c r="C499">
        <f t="shared" si="16"/>
        <v>11.757094577995908</v>
      </c>
      <c r="D499" s="3"/>
      <c r="E499" s="9">
        <v>1.32479747198834</v>
      </c>
      <c r="F499" s="8">
        <v>13.022392946451699</v>
      </c>
      <c r="G499" s="1">
        <f t="shared" si="17"/>
        <v>13.483612046451698</v>
      </c>
      <c r="I499" s="9">
        <v>0.86930673999999997</v>
      </c>
      <c r="J499" s="8">
        <v>11.630850000000001</v>
      </c>
      <c r="P499" s="9">
        <v>0.87177634000000004</v>
      </c>
      <c r="Q499" s="8">
        <v>11.620566</v>
      </c>
    </row>
    <row r="500" spans="1:17" x14ac:dyDescent="0.3">
      <c r="A500">
        <v>0.88165486000000004</v>
      </c>
      <c r="B500">
        <v>12.945743</v>
      </c>
      <c r="C500">
        <f t="shared" si="16"/>
        <v>11.766665577995909</v>
      </c>
      <c r="D500" s="3"/>
      <c r="E500" s="9">
        <v>1.36293085374088</v>
      </c>
      <c r="F500" s="8">
        <v>13.1016210663515</v>
      </c>
      <c r="G500" s="1">
        <f t="shared" si="17"/>
        <v>13.562840166351499</v>
      </c>
      <c r="I500" s="9">
        <v>0.87177634000000004</v>
      </c>
      <c r="J500" s="8">
        <v>11.640259</v>
      </c>
      <c r="P500" s="9">
        <v>0.87424599999999997</v>
      </c>
      <c r="Q500" s="8">
        <v>11.629979000000001</v>
      </c>
    </row>
    <row r="501" spans="1:17" x14ac:dyDescent="0.3">
      <c r="A501">
        <v>0.88412446</v>
      </c>
      <c r="B501">
        <v>12.955277000000001</v>
      </c>
      <c r="C501">
        <f t="shared" si="16"/>
        <v>11.776199577995909</v>
      </c>
      <c r="D501" s="3"/>
      <c r="E501" s="9">
        <v>1.40216187777056</v>
      </c>
      <c r="F501" s="8">
        <v>13.179612875503</v>
      </c>
      <c r="G501" s="1">
        <f t="shared" si="17"/>
        <v>13.640831975503</v>
      </c>
      <c r="I501" s="9">
        <v>0.87424599999999997</v>
      </c>
      <c r="J501" s="8">
        <v>11.6496315</v>
      </c>
      <c r="P501" s="9">
        <v>0.87671560000000004</v>
      </c>
      <c r="Q501" s="8">
        <v>11.639358</v>
      </c>
    </row>
    <row r="502" spans="1:17" x14ac:dyDescent="0.3">
      <c r="A502">
        <v>0.88659410000000005</v>
      </c>
      <c r="B502">
        <v>12.964778000000001</v>
      </c>
      <c r="C502">
        <f t="shared" si="16"/>
        <v>11.785700577995909</v>
      </c>
      <c r="D502" s="3"/>
      <c r="E502" s="9">
        <v>1.4425221389298</v>
      </c>
      <c r="F502" s="8">
        <v>13.256352205973201</v>
      </c>
      <c r="G502" s="1">
        <f t="shared" si="17"/>
        <v>13.7175713059732</v>
      </c>
      <c r="I502" s="9">
        <v>0.87671560000000004</v>
      </c>
      <c r="J502" s="8">
        <v>11.65897</v>
      </c>
      <c r="P502" s="9">
        <v>0.87918525999999997</v>
      </c>
      <c r="Q502" s="8">
        <v>11.648701000000001</v>
      </c>
    </row>
    <row r="503" spans="1:17" x14ac:dyDescent="0.3">
      <c r="A503">
        <v>0.88906370000000001</v>
      </c>
      <c r="B503">
        <v>12.974242</v>
      </c>
      <c r="C503">
        <f t="shared" si="16"/>
        <v>11.795164577995909</v>
      </c>
      <c r="D503" s="3"/>
      <c r="E503" s="9">
        <v>1.4840441415063499</v>
      </c>
      <c r="F503" s="8">
        <v>13.331824380615901</v>
      </c>
      <c r="G503" s="1">
        <f t="shared" si="17"/>
        <v>13.7930434806159</v>
      </c>
      <c r="I503" s="9">
        <v>0.87918525999999997</v>
      </c>
      <c r="J503" s="8">
        <v>11.668272</v>
      </c>
      <c r="P503" s="9">
        <v>0.88165486000000004</v>
      </c>
      <c r="Q503" s="8">
        <v>11.6580105</v>
      </c>
    </row>
    <row r="504" spans="1:17" x14ac:dyDescent="0.3">
      <c r="A504">
        <v>0.89153329999999997</v>
      </c>
      <c r="B504">
        <v>12.983672</v>
      </c>
      <c r="C504">
        <f t="shared" si="16"/>
        <v>11.804594577995909</v>
      </c>
      <c r="D504" s="3"/>
      <c r="E504" s="9">
        <v>1.5267613254008201</v>
      </c>
      <c r="F504" s="8">
        <v>13.4060162210714</v>
      </c>
      <c r="G504" s="1">
        <f t="shared" si="17"/>
        <v>13.8672353210714</v>
      </c>
      <c r="I504" s="9">
        <v>0.88165486000000004</v>
      </c>
      <c r="J504" s="8">
        <v>11.677538999999999</v>
      </c>
      <c r="P504" s="9">
        <v>0.88412446</v>
      </c>
      <c r="Q504" s="8">
        <v>11.667286000000001</v>
      </c>
    </row>
    <row r="505" spans="1:17" x14ac:dyDescent="0.3">
      <c r="A505">
        <v>0.89400299999999999</v>
      </c>
      <c r="B505">
        <v>12.993067</v>
      </c>
      <c r="C505">
        <f t="shared" si="16"/>
        <v>11.813989577995908</v>
      </c>
      <c r="D505" s="3"/>
      <c r="E505" s="9">
        <v>1.5707080930575399</v>
      </c>
      <c r="F505" s="8">
        <v>13.478916052106401</v>
      </c>
      <c r="G505" s="1">
        <f t="shared" si="17"/>
        <v>13.9401351521064</v>
      </c>
      <c r="I505" s="9">
        <v>0.88412446</v>
      </c>
      <c r="J505" s="8">
        <v>11.686769999999999</v>
      </c>
      <c r="P505" s="9">
        <v>0.88659410000000005</v>
      </c>
      <c r="Q505" s="8">
        <v>11.676526000000001</v>
      </c>
    </row>
    <row r="506" spans="1:17" x14ac:dyDescent="0.3">
      <c r="A506">
        <v>0.89647259999999995</v>
      </c>
      <c r="B506">
        <v>13.002427000000001</v>
      </c>
      <c r="C506">
        <f t="shared" si="16"/>
        <v>11.823349577995909</v>
      </c>
      <c r="D506" s="3"/>
      <c r="E506" s="9">
        <v>1.6159198371707599</v>
      </c>
      <c r="F506" s="8">
        <v>13.550513702281799</v>
      </c>
      <c r="G506" s="1">
        <f t="shared" si="17"/>
        <v>14.011732802281799</v>
      </c>
      <c r="I506" s="9">
        <v>0.88659410000000005</v>
      </c>
      <c r="J506" s="8">
        <v>11.695967</v>
      </c>
      <c r="P506" s="9">
        <v>0.88906370000000001</v>
      </c>
      <c r="Q506" s="8">
        <v>11.685734</v>
      </c>
    </row>
    <row r="507" spans="1:17" x14ac:dyDescent="0.3">
      <c r="A507">
        <v>0.89894222999999995</v>
      </c>
      <c r="B507">
        <v>13.011752</v>
      </c>
      <c r="C507">
        <f t="shared" si="16"/>
        <v>11.832674577995908</v>
      </c>
      <c r="D507" s="3"/>
      <c r="E507" s="9">
        <v>1.66243296918824</v>
      </c>
      <c r="F507" s="8">
        <v>13.6208005009485</v>
      </c>
      <c r="G507" s="1">
        <f t="shared" si="17"/>
        <v>14.082019600948499</v>
      </c>
      <c r="I507" s="9">
        <v>0.88906370000000001</v>
      </c>
      <c r="J507" s="8">
        <v>11.705128999999999</v>
      </c>
      <c r="P507" s="9">
        <v>0.89153329999999997</v>
      </c>
      <c r="Q507" s="8">
        <v>11.694907000000001</v>
      </c>
    </row>
    <row r="508" spans="1:17" x14ac:dyDescent="0.3">
      <c r="A508">
        <v>0.90141183000000003</v>
      </c>
      <c r="B508">
        <v>13.021044</v>
      </c>
      <c r="C508">
        <f t="shared" si="16"/>
        <v>11.841966577995908</v>
      </c>
      <c r="D508" s="3"/>
      <c r="E508" s="9">
        <v>1.7102849486354099</v>
      </c>
      <c r="F508" s="8">
        <v>13.689769271587499</v>
      </c>
      <c r="G508" s="1">
        <f t="shared" si="17"/>
        <v>14.150988371587498</v>
      </c>
      <c r="I508" s="9">
        <v>0.89153329999999997</v>
      </c>
      <c r="J508" s="8">
        <v>11.714255</v>
      </c>
      <c r="P508" s="9">
        <v>0.89400299999999999</v>
      </c>
      <c r="Q508" s="8">
        <v>11.704046999999999</v>
      </c>
    </row>
    <row r="509" spans="1:17" x14ac:dyDescent="0.3">
      <c r="A509">
        <v>1.8028237</v>
      </c>
      <c r="B509">
        <v>15.086347999999999</v>
      </c>
      <c r="C509">
        <f t="shared" si="16"/>
        <v>13.907270577995908</v>
      </c>
      <c r="D509" s="3"/>
      <c r="E509" s="9">
        <v>1.7595143132834601</v>
      </c>
      <c r="F509" s="8">
        <v>13.757414321529</v>
      </c>
      <c r="G509" s="1">
        <f t="shared" si="17"/>
        <v>14.218633421528999</v>
      </c>
      <c r="I509" s="9">
        <v>0.89400299999999999</v>
      </c>
      <c r="J509" s="8">
        <v>11.723348</v>
      </c>
      <c r="P509" s="9">
        <v>0.89647259999999995</v>
      </c>
      <c r="Q509" s="8">
        <v>11.713153999999999</v>
      </c>
    </row>
    <row r="510" spans="1:17" x14ac:dyDescent="0.3">
      <c r="A510">
        <v>2.7042356000000001</v>
      </c>
      <c r="B510">
        <v>15.903119999999999</v>
      </c>
      <c r="C510">
        <f t="shared" si="16"/>
        <v>14.724042577995908</v>
      </c>
      <c r="D510" s="3"/>
      <c r="E510" s="9">
        <v>1.81016071018595</v>
      </c>
      <c r="F510" s="8">
        <v>13.8237314280957</v>
      </c>
      <c r="G510" s="1">
        <f t="shared" si="17"/>
        <v>14.284950528095699</v>
      </c>
      <c r="I510" s="9">
        <v>0.89647259999999995</v>
      </c>
      <c r="J510" s="8">
        <v>11.732405</v>
      </c>
      <c r="P510" s="9">
        <v>0.89894222999999995</v>
      </c>
      <c r="Q510" s="8">
        <v>11.722227</v>
      </c>
    </row>
    <row r="511" spans="1:17" x14ac:dyDescent="0.3">
      <c r="A511">
        <v>3.6056473000000002</v>
      </c>
      <c r="B511">
        <v>16.333176000000002</v>
      </c>
      <c r="C511">
        <f t="shared" si="16"/>
        <v>15.15409857799591</v>
      </c>
      <c r="D511" s="3"/>
      <c r="E511" s="9">
        <v>1.86226492760868</v>
      </c>
      <c r="F511" s="8">
        <v>13.8887178212363</v>
      </c>
      <c r="G511" s="1">
        <f t="shared" si="17"/>
        <v>14.349936921236299</v>
      </c>
      <c r="I511" s="9">
        <v>0.89894222999999995</v>
      </c>
      <c r="J511" s="8">
        <v>11.741428000000001</v>
      </c>
      <c r="P511" s="9">
        <v>0.90141183000000003</v>
      </c>
      <c r="Q511" s="8">
        <v>11.731268</v>
      </c>
    </row>
    <row r="512" spans="1:17" x14ac:dyDescent="0.3">
      <c r="A512">
        <v>4.5070589999999999</v>
      </c>
      <c r="B512">
        <v>16.594505000000002</v>
      </c>
      <c r="C512">
        <f t="shared" si="16"/>
        <v>15.41542757799591</v>
      </c>
      <c r="D512" s="3"/>
      <c r="E512" s="9">
        <v>1.91586892787867</v>
      </c>
      <c r="F512" s="8">
        <v>13.952372162726901</v>
      </c>
      <c r="G512" s="1">
        <f t="shared" si="17"/>
        <v>14.4135912627269</v>
      </c>
      <c r="I512" s="9">
        <v>0.90141183000000003</v>
      </c>
      <c r="J512" s="8">
        <v>11.750418</v>
      </c>
      <c r="P512" s="9">
        <v>0.90141183000000003</v>
      </c>
      <c r="Q512" s="8">
        <v>11.731268</v>
      </c>
    </row>
    <row r="513" spans="1:17" x14ac:dyDescent="0.3">
      <c r="A513">
        <v>5.4084709999999996</v>
      </c>
      <c r="B513">
        <v>16.76511</v>
      </c>
      <c r="C513">
        <f t="shared" si="16"/>
        <v>15.586032577995908</v>
      </c>
      <c r="D513" s="3"/>
      <c r="E513" s="9">
        <v>1.97101588117866</v>
      </c>
      <c r="F513" s="8">
        <v>14.014694522035899</v>
      </c>
      <c r="G513" s="1">
        <f t="shared" si="17"/>
        <v>14.475913622035899</v>
      </c>
      <c r="I513" s="9">
        <v>0.90141183000000003</v>
      </c>
      <c r="J513" s="8">
        <v>11.750418</v>
      </c>
      <c r="P513" s="9">
        <v>1.8028237</v>
      </c>
      <c r="Q513" s="8">
        <v>13.6989</v>
      </c>
    </row>
    <row r="514" spans="1:17" x14ac:dyDescent="0.3">
      <c r="A514">
        <v>6.3098825999999999</v>
      </c>
      <c r="B514">
        <v>16.885120000000001</v>
      </c>
      <c r="C514">
        <f t="shared" si="16"/>
        <v>15.706042577995909</v>
      </c>
      <c r="E514" s="9">
        <v>2.0277502003144598</v>
      </c>
      <c r="F514" s="8">
        <v>14.07568634896</v>
      </c>
      <c r="G514" s="1">
        <f t="shared" si="17"/>
        <v>14.536905448959999</v>
      </c>
      <c r="I514" s="9">
        <v>1.8028237</v>
      </c>
      <c r="J514" s="8">
        <v>13.712016999999999</v>
      </c>
      <c r="P514" s="9">
        <v>2.7042356000000001</v>
      </c>
      <c r="Q514" s="8">
        <v>14.499326999999999</v>
      </c>
    </row>
    <row r="515" spans="1:17" x14ac:dyDescent="0.3">
      <c r="A515">
        <v>7.2112946999999998</v>
      </c>
      <c r="B515">
        <v>16.975007999999999</v>
      </c>
      <c r="C515">
        <f t="shared" si="16"/>
        <v>15.795930577995907</v>
      </c>
      <c r="E515" s="9">
        <v>2.0861175764828599</v>
      </c>
      <c r="F515" s="8">
        <v>14.1353504431574</v>
      </c>
      <c r="G515" s="1">
        <f t="shared" si="17"/>
        <v>14.596569543157399</v>
      </c>
      <c r="I515" s="9">
        <v>2.7042356000000001</v>
      </c>
      <c r="J515" s="8">
        <v>14.505121000000001</v>
      </c>
      <c r="P515" s="9">
        <v>3.6056473000000002</v>
      </c>
      <c r="Q515" s="8">
        <v>14.912419</v>
      </c>
    </row>
    <row r="516" spans="1:17" x14ac:dyDescent="0.3">
      <c r="A516">
        <v>8.1127059999999993</v>
      </c>
      <c r="B516">
        <v>17.046492000000001</v>
      </c>
      <c r="C516">
        <f t="shared" ref="C516:C579" si="18">B516-2*PI()*1.68*(0.1187-0.007)</f>
        <v>15.867414577995909</v>
      </c>
      <c r="E516" s="9">
        <v>2.14616501606928</v>
      </c>
      <c r="F516" s="8">
        <v>14.1936909207128</v>
      </c>
      <c r="G516" s="1">
        <f t="shared" ref="G516:G579" si="19">$B$3+F516</f>
        <v>14.6549100207128</v>
      </c>
      <c r="I516" s="9">
        <v>3.6056473000000002</v>
      </c>
      <c r="J516" s="8">
        <v>14.915585999999999</v>
      </c>
      <c r="P516" s="9">
        <v>4.5070589999999999</v>
      </c>
      <c r="Q516" s="8">
        <v>15.159037</v>
      </c>
    </row>
    <row r="517" spans="1:17" x14ac:dyDescent="0.3">
      <c r="A517">
        <v>9.0141179999999999</v>
      </c>
      <c r="B517">
        <v>17.103999999999999</v>
      </c>
      <c r="C517">
        <f t="shared" si="18"/>
        <v>15.924922577995908</v>
      </c>
      <c r="E517" s="9">
        <v>2.20794087850452</v>
      </c>
      <c r="F517" s="8">
        <v>14.250713177886601</v>
      </c>
      <c r="G517" s="1">
        <f t="shared" si="19"/>
        <v>14.7119322778866</v>
      </c>
      <c r="I517" s="9">
        <v>4.5070589999999999</v>
      </c>
      <c r="J517" s="8">
        <v>15.159905</v>
      </c>
      <c r="P517" s="9">
        <v>5.4084709999999996</v>
      </c>
      <c r="Q517" s="8">
        <v>15.321078</v>
      </c>
    </row>
    <row r="518" spans="1:17" x14ac:dyDescent="0.3">
      <c r="A518">
        <v>9.9155300000000004</v>
      </c>
      <c r="B518">
        <v>17.151071999999999</v>
      </c>
      <c r="C518">
        <f t="shared" si="18"/>
        <v>15.971994577995908</v>
      </c>
      <c r="E518" s="9">
        <v>2.2714949152111901</v>
      </c>
      <c r="F518" s="8">
        <v>14.3064238522108</v>
      </c>
      <c r="G518" s="1">
        <f t="shared" si="19"/>
        <v>14.767642952210799</v>
      </c>
      <c r="I518" s="9">
        <v>5.4084709999999996</v>
      </c>
      <c r="J518" s="8">
        <v>15.321838</v>
      </c>
      <c r="P518" s="9">
        <v>6.3098825999999999</v>
      </c>
      <c r="Q518" s="8">
        <v>15.432154000000001</v>
      </c>
    </row>
    <row r="519" spans="1:17" x14ac:dyDescent="0.3">
      <c r="A519">
        <v>10.816941999999999</v>
      </c>
      <c r="B519">
        <v>17.189934000000001</v>
      </c>
      <c r="C519">
        <f t="shared" si="18"/>
        <v>16.010856577995909</v>
      </c>
      <c r="E519" s="9">
        <v>2.3368783096712602</v>
      </c>
      <c r="F519" s="8">
        <v>14.3608307811052</v>
      </c>
      <c r="G519" s="1">
        <f t="shared" si="19"/>
        <v>14.822049881105199</v>
      </c>
      <c r="I519" s="9">
        <v>6.3098825999999999</v>
      </c>
      <c r="J519" s="8">
        <v>15.433384999999999</v>
      </c>
      <c r="P519" s="9">
        <v>7.2112946999999998</v>
      </c>
      <c r="Q519" s="8">
        <v>15.5126095</v>
      </c>
    </row>
    <row r="520" spans="1:17" x14ac:dyDescent="0.3">
      <c r="A520">
        <v>11.718353</v>
      </c>
      <c r="B520">
        <v>17.222671999999999</v>
      </c>
      <c r="C520">
        <f t="shared" si="18"/>
        <v>16.043594577995908</v>
      </c>
      <c r="E520" s="9">
        <v>2.40414371864679</v>
      </c>
      <c r="F520" s="8">
        <v>14.413942958199399</v>
      </c>
      <c r="G520" s="1">
        <f t="shared" si="19"/>
        <v>14.875162058199399</v>
      </c>
      <c r="I520" s="9">
        <v>7.2112946999999998</v>
      </c>
      <c r="J520" s="8">
        <v>15.513769999999999</v>
      </c>
      <c r="P520" s="9">
        <v>8.1127059999999993</v>
      </c>
      <c r="Q520" s="8">
        <v>15.574104</v>
      </c>
    </row>
    <row r="521" spans="1:17" x14ac:dyDescent="0.3">
      <c r="A521">
        <v>12.619764999999999</v>
      </c>
      <c r="B521">
        <v>17.250661999999998</v>
      </c>
      <c r="C521">
        <f t="shared" si="18"/>
        <v>16.071584577995907</v>
      </c>
      <c r="E521" s="9">
        <v>2.4733453145873101</v>
      </c>
      <c r="F521" s="8">
        <v>14.465770487553501</v>
      </c>
      <c r="G521" s="1">
        <f t="shared" si="19"/>
        <v>14.9269895875535</v>
      </c>
      <c r="I521" s="9">
        <v>8.1127059999999993</v>
      </c>
      <c r="J521" s="8">
        <v>15.575359000000001</v>
      </c>
      <c r="P521" s="9">
        <v>9.0141179999999999</v>
      </c>
      <c r="Q521" s="8">
        <v>15.622445000000001</v>
      </c>
    </row>
    <row r="522" spans="1:17" x14ac:dyDescent="0.3">
      <c r="A522">
        <v>13.521177</v>
      </c>
      <c r="B522">
        <v>17.275449999999999</v>
      </c>
      <c r="C522">
        <f t="shared" si="18"/>
        <v>16.096372577995908</v>
      </c>
      <c r="E522" s="9">
        <v>2.5445388292577902</v>
      </c>
      <c r="F522" s="8">
        <v>14.5163245359816</v>
      </c>
      <c r="G522" s="1">
        <f t="shared" si="19"/>
        <v>14.977543635981599</v>
      </c>
      <c r="I522" s="9">
        <v>9.0141179999999999</v>
      </c>
      <c r="J522" s="8">
        <v>15.624025</v>
      </c>
      <c r="P522" s="9">
        <v>9.9155300000000004</v>
      </c>
      <c r="Q522" s="8">
        <v>15.660824</v>
      </c>
    </row>
    <row r="523" spans="1:17" x14ac:dyDescent="0.3">
      <c r="A523">
        <v>14.422589</v>
      </c>
      <c r="B523">
        <v>17.297148</v>
      </c>
      <c r="C523">
        <f t="shared" si="18"/>
        <v>16.118070577995908</v>
      </c>
      <c r="E523" s="9">
        <v>2.61778159862242</v>
      </c>
      <c r="F523" s="8">
        <v>14.565617283685601</v>
      </c>
      <c r="G523" s="1">
        <f t="shared" si="19"/>
        <v>15.0268363836856</v>
      </c>
      <c r="I523" s="9">
        <v>9.9155300000000004</v>
      </c>
      <c r="J523" s="8">
        <v>15.663129</v>
      </c>
      <c r="P523" s="9">
        <v>10.816941999999999</v>
      </c>
      <c r="Q523" s="8">
        <v>15.691837</v>
      </c>
    </row>
    <row r="524" spans="1:17" x14ac:dyDescent="0.3">
      <c r="A524">
        <v>15.324001000000001</v>
      </c>
      <c r="B524">
        <v>17.316742000000001</v>
      </c>
      <c r="C524">
        <f t="shared" si="18"/>
        <v>16.13766457799591</v>
      </c>
      <c r="E524" s="9">
        <v>2.69313260902035</v>
      </c>
      <c r="F524" s="8">
        <v>14.6136618734148</v>
      </c>
      <c r="G524" s="1">
        <f t="shared" si="19"/>
        <v>15.0748809734148</v>
      </c>
      <c r="I524" s="9">
        <v>10.816941999999999</v>
      </c>
      <c r="J524" s="8">
        <v>15.694792</v>
      </c>
      <c r="P524" s="9">
        <v>11.718353</v>
      </c>
      <c r="Q524" s="8">
        <v>15.717667</v>
      </c>
    </row>
    <row r="525" spans="1:17" x14ac:dyDescent="0.3">
      <c r="A525">
        <v>16.225411999999999</v>
      </c>
      <c r="B525">
        <v>17.334233999999999</v>
      </c>
      <c r="C525">
        <f t="shared" si="18"/>
        <v>16.155156577995907</v>
      </c>
      <c r="E525" s="9">
        <v>2.7706525446705501</v>
      </c>
      <c r="F525" s="8">
        <v>14.660472358371001</v>
      </c>
      <c r="G525" s="1">
        <f t="shared" si="19"/>
        <v>15.121691458371</v>
      </c>
      <c r="I525" s="9">
        <v>11.718353</v>
      </c>
      <c r="J525" s="8">
        <v>15.720556</v>
      </c>
      <c r="P525" s="9">
        <v>12.619764999999999</v>
      </c>
      <c r="Q525" s="8">
        <v>15.7393465</v>
      </c>
    </row>
    <row r="526" spans="1:17" x14ac:dyDescent="0.3">
      <c r="A526">
        <v>17.126825</v>
      </c>
      <c r="B526">
        <v>17.350121999999999</v>
      </c>
      <c r="C526">
        <f t="shared" si="18"/>
        <v>16.171044577995907</v>
      </c>
      <c r="E526" s="9">
        <v>2.85040383654409</v>
      </c>
      <c r="F526" s="8">
        <v>14.706063649081401</v>
      </c>
      <c r="G526" s="1">
        <f t="shared" si="19"/>
        <v>15.1672827490814</v>
      </c>
      <c r="I526" s="9">
        <v>12.619764999999999</v>
      </c>
      <c r="J526" s="8">
        <v>15.741941000000001</v>
      </c>
      <c r="P526" s="9">
        <v>13.521177</v>
      </c>
      <c r="Q526" s="8">
        <v>15.7579365</v>
      </c>
    </row>
    <row r="527" spans="1:17" x14ac:dyDescent="0.3">
      <c r="A527">
        <v>18.028236</v>
      </c>
      <c r="B527">
        <v>17.3645</v>
      </c>
      <c r="C527">
        <f t="shared" si="18"/>
        <v>16.185422577995908</v>
      </c>
      <c r="E527" s="9">
        <v>2.9324507126431398</v>
      </c>
      <c r="F527" s="8">
        <v>14.7504514594621</v>
      </c>
      <c r="G527" s="1">
        <f t="shared" si="19"/>
        <v>15.2116705594621</v>
      </c>
      <c r="I527" s="9">
        <v>13.521177</v>
      </c>
      <c r="J527" s="8">
        <v>15.760273</v>
      </c>
      <c r="P527" s="9">
        <v>14.422589</v>
      </c>
      <c r="Q527" s="8">
        <v>15.773982999999999</v>
      </c>
    </row>
    <row r="528" spans="1:17" x14ac:dyDescent="0.3">
      <c r="A528">
        <v>18.929646999999999</v>
      </c>
      <c r="B528">
        <v>17.377624999999998</v>
      </c>
      <c r="C528">
        <f t="shared" si="18"/>
        <v>16.198547577995907</v>
      </c>
      <c r="E528" s="9">
        <v>3.0168592497272502</v>
      </c>
      <c r="F528" s="8">
        <v>14.793652252297701</v>
      </c>
      <c r="G528" s="1">
        <f t="shared" si="19"/>
        <v>15.2548713522977</v>
      </c>
      <c r="I528" s="9">
        <v>14.422589</v>
      </c>
      <c r="J528" s="8">
        <v>15.776197</v>
      </c>
      <c r="P528" s="9">
        <v>15.324001000000001</v>
      </c>
      <c r="Q528" s="8">
        <v>15.787894</v>
      </c>
    </row>
    <row r="529" spans="1:17" x14ac:dyDescent="0.3">
      <c r="A529">
        <v>19.831060000000001</v>
      </c>
      <c r="B529">
        <v>17.389631000000001</v>
      </c>
      <c r="C529">
        <f t="shared" si="18"/>
        <v>16.21055357799591</v>
      </c>
      <c r="E529" s="9">
        <v>3.1036974265284898</v>
      </c>
      <c r="F529" s="8">
        <v>14.8356831843584</v>
      </c>
      <c r="G529" s="1">
        <f t="shared" si="19"/>
        <v>15.296902284358399</v>
      </c>
      <c r="I529" s="9">
        <v>15.324001000000001</v>
      </c>
      <c r="J529" s="8">
        <v>15.790037999999999</v>
      </c>
      <c r="P529" s="9">
        <v>16.225411999999999</v>
      </c>
      <c r="Q529" s="8">
        <v>15.800122</v>
      </c>
    </row>
    <row r="530" spans="1:17" x14ac:dyDescent="0.3">
      <c r="A530">
        <v>20.732471</v>
      </c>
      <c r="B530">
        <v>17.40063</v>
      </c>
      <c r="C530">
        <f t="shared" si="18"/>
        <v>16.221552577995908</v>
      </c>
      <c r="E530" s="9">
        <v>3.1930351784984099</v>
      </c>
      <c r="F530" s="8">
        <v>14.8765620513761</v>
      </c>
      <c r="G530" s="1">
        <f t="shared" si="19"/>
        <v>15.337781151376099</v>
      </c>
      <c r="I530" s="9">
        <v>16.225411999999999</v>
      </c>
      <c r="J530" s="8">
        <v>15.802315</v>
      </c>
      <c r="P530" s="9">
        <v>17.126825</v>
      </c>
      <c r="Q530" s="8">
        <v>15.810988999999999</v>
      </c>
    </row>
    <row r="531" spans="1:17" x14ac:dyDescent="0.3">
      <c r="A531">
        <v>21.633883999999998</v>
      </c>
      <c r="B531">
        <v>17.410727000000001</v>
      </c>
      <c r="C531">
        <f t="shared" si="18"/>
        <v>16.23164957799591</v>
      </c>
      <c r="E531" s="9">
        <v>3.2849444541307999</v>
      </c>
      <c r="F531" s="8">
        <v>14.9163072330935</v>
      </c>
      <c r="G531" s="1">
        <f t="shared" si="19"/>
        <v>15.377526333093499</v>
      </c>
      <c r="I531" s="9">
        <v>17.126825</v>
      </c>
      <c r="J531" s="8">
        <v>15.813108</v>
      </c>
      <c r="P531" s="9">
        <v>18.028236</v>
      </c>
      <c r="Q531" s="8">
        <v>15.820719</v>
      </c>
    </row>
    <row r="532" spans="1:17" x14ac:dyDescent="0.3">
      <c r="A532">
        <v>22.535295000000001</v>
      </c>
      <c r="B532">
        <v>17.420055000000001</v>
      </c>
      <c r="C532">
        <f t="shared" si="18"/>
        <v>16.24097757799591</v>
      </c>
      <c r="E532" s="9">
        <v>3.3794992729056599</v>
      </c>
      <c r="F532" s="8">
        <v>14.954937638599199</v>
      </c>
      <c r="G532" s="1">
        <f t="shared" si="19"/>
        <v>15.416156738599199</v>
      </c>
      <c r="I532" s="9">
        <v>18.028236</v>
      </c>
      <c r="J532" s="8">
        <v>15.822744</v>
      </c>
      <c r="P532" s="9">
        <v>18.929646999999999</v>
      </c>
      <c r="Q532" s="8">
        <v>15.829148</v>
      </c>
    </row>
    <row r="533" spans="1:17" x14ac:dyDescent="0.3">
      <c r="A533">
        <v>23.436706999999998</v>
      </c>
      <c r="B533">
        <v>17.428736000000001</v>
      </c>
      <c r="C533">
        <f t="shared" si="18"/>
        <v>16.249658577995909</v>
      </c>
      <c r="E533" s="9">
        <v>3.47677578490112</v>
      </c>
      <c r="F533" s="8">
        <v>14.992472652149599</v>
      </c>
      <c r="G533" s="1">
        <f t="shared" si="19"/>
        <v>15.453691752149599</v>
      </c>
      <c r="I533" s="9">
        <v>18.929646999999999</v>
      </c>
      <c r="J533" s="8">
        <v>15.831296</v>
      </c>
      <c r="P533" s="9">
        <v>19.831060000000001</v>
      </c>
      <c r="Q533" s="8">
        <v>15.836565</v>
      </c>
    </row>
    <row r="534" spans="1:17" x14ac:dyDescent="0.3">
      <c r="A534">
        <v>24.33812</v>
      </c>
      <c r="B534">
        <v>17.436772999999999</v>
      </c>
      <c r="C534">
        <f t="shared" si="18"/>
        <v>16.257695577995907</v>
      </c>
      <c r="E534" s="9">
        <v>3.5768523321211299</v>
      </c>
      <c r="F534" s="8">
        <v>15.028932079677</v>
      </c>
      <c r="G534" s="1">
        <f t="shared" si="19"/>
        <v>15.490151179677</v>
      </c>
      <c r="I534" s="9">
        <v>19.831060000000001</v>
      </c>
      <c r="J534" s="8">
        <v>15.838931000000001</v>
      </c>
      <c r="P534" s="9">
        <v>20.732471</v>
      </c>
      <c r="Q534" s="8">
        <v>15.843128999999999</v>
      </c>
    </row>
    <row r="535" spans="1:17" x14ac:dyDescent="0.3">
      <c r="A535">
        <v>25.239529999999998</v>
      </c>
      <c r="B535">
        <v>17.444313000000001</v>
      </c>
      <c r="C535">
        <f t="shared" si="18"/>
        <v>16.265235577995909</v>
      </c>
      <c r="E535" s="9">
        <v>3.6798095115885401</v>
      </c>
      <c r="F535" s="8">
        <v>15.0643360961674</v>
      </c>
      <c r="G535" s="1">
        <f t="shared" si="19"/>
        <v>15.525555196167399</v>
      </c>
      <c r="I535" s="9">
        <v>20.732471</v>
      </c>
      <c r="J535" s="8">
        <v>15.845694999999999</v>
      </c>
      <c r="P535" s="9">
        <v>21.633883999999998</v>
      </c>
      <c r="Q535" s="8">
        <v>15.849043</v>
      </c>
    </row>
    <row r="536" spans="1:17" x14ac:dyDescent="0.3">
      <c r="A536">
        <v>26.140944000000001</v>
      </c>
      <c r="B536">
        <v>17.451453999999998</v>
      </c>
      <c r="C536">
        <f t="shared" si="18"/>
        <v>16.272376577995907</v>
      </c>
      <c r="E536" s="9">
        <v>3.7857302402541602</v>
      </c>
      <c r="F536" s="8">
        <v>15.098705194087</v>
      </c>
      <c r="G536" s="1">
        <f t="shared" si="19"/>
        <v>15.559924294086999</v>
      </c>
      <c r="I536" s="9">
        <v>21.633883999999998</v>
      </c>
      <c r="J536" s="8">
        <v>15.851742</v>
      </c>
      <c r="P536" s="9">
        <v>22.535295000000001</v>
      </c>
      <c r="Q536" s="8">
        <v>15.854449000000001</v>
      </c>
    </row>
    <row r="537" spans="1:17" x14ac:dyDescent="0.3">
      <c r="A537">
        <v>27.042355000000001</v>
      </c>
      <c r="B537">
        <v>17.458233</v>
      </c>
      <c r="C537">
        <f t="shared" si="18"/>
        <v>16.279155577995908</v>
      </c>
      <c r="E537" s="9">
        <v>3.8946998217742901</v>
      </c>
      <c r="F537" s="8">
        <v>15.1320601330219</v>
      </c>
      <c r="G537" s="1">
        <f t="shared" si="19"/>
        <v>15.593279233021899</v>
      </c>
      <c r="I537" s="9">
        <v>22.535295000000001</v>
      </c>
      <c r="J537" s="8">
        <v>15.857191</v>
      </c>
      <c r="P537" s="9">
        <v>23.436706999999998</v>
      </c>
      <c r="Q537" s="8">
        <v>15.859361</v>
      </c>
    </row>
    <row r="538" spans="1:17" x14ac:dyDescent="0.3">
      <c r="A538">
        <v>27.943766</v>
      </c>
      <c r="B538">
        <v>17.46453</v>
      </c>
      <c r="C538">
        <f t="shared" si="18"/>
        <v>16.285452577995908</v>
      </c>
      <c r="E538" s="9">
        <v>4.0068060152103104</v>
      </c>
      <c r="F538" s="8">
        <v>15.164421890684601</v>
      </c>
      <c r="G538" s="1">
        <f t="shared" si="19"/>
        <v>15.6256409906846</v>
      </c>
      <c r="I538" s="9">
        <v>23.436706999999998</v>
      </c>
      <c r="J538" s="8">
        <v>15.862111000000001</v>
      </c>
      <c r="P538" s="9">
        <v>24.33812</v>
      </c>
      <c r="Q538" s="8">
        <v>15.863699</v>
      </c>
    </row>
    <row r="539" spans="1:17" x14ac:dyDescent="0.3">
      <c r="A539">
        <v>28.845179000000002</v>
      </c>
      <c r="B539">
        <v>17.470510000000001</v>
      </c>
      <c r="C539">
        <f t="shared" si="18"/>
        <v>16.291432577995909</v>
      </c>
      <c r="E539" s="9">
        <v>4.1221391057057799</v>
      </c>
      <c r="F539" s="8">
        <v>15.1958116154286</v>
      </c>
      <c r="G539" s="1">
        <f t="shared" si="19"/>
        <v>15.657030715428599</v>
      </c>
      <c r="I539" s="9">
        <v>24.33812</v>
      </c>
      <c r="J539" s="8">
        <v>15.866574999999999</v>
      </c>
      <c r="P539" s="9">
        <v>25.239529999999998</v>
      </c>
      <c r="Q539" s="8">
        <v>15.867627000000001</v>
      </c>
    </row>
    <row r="540" spans="1:17" x14ac:dyDescent="0.3">
      <c r="A540">
        <v>29.746590000000001</v>
      </c>
      <c r="B540">
        <v>17.476227000000002</v>
      </c>
      <c r="C540">
        <f t="shared" si="18"/>
        <v>16.29714957799591</v>
      </c>
      <c r="E540" s="9">
        <v>4.2407919771979099</v>
      </c>
      <c r="F540" s="8">
        <v>15.226250580399</v>
      </c>
      <c r="G540" s="1">
        <f t="shared" si="19"/>
        <v>15.687469680398999</v>
      </c>
      <c r="I540" s="9">
        <v>25.239529999999998</v>
      </c>
      <c r="J540" s="8">
        <v>15.870709</v>
      </c>
      <c r="P540" s="9">
        <v>26.140944000000001</v>
      </c>
      <c r="Q540" s="8">
        <v>15.871217</v>
      </c>
    </row>
    <row r="541" spans="1:17" x14ac:dyDescent="0.3">
      <c r="A541">
        <v>30.648002999999999</v>
      </c>
      <c r="B541">
        <v>17.481653000000001</v>
      </c>
      <c r="C541">
        <f t="shared" si="18"/>
        <v>16.30257557799591</v>
      </c>
      <c r="E541" s="9">
        <v>4.3628601872220001</v>
      </c>
      <c r="F541" s="8">
        <v>15.2557601394317</v>
      </c>
      <c r="G541" s="1">
        <f t="shared" si="19"/>
        <v>15.7169792394317</v>
      </c>
      <c r="I541" s="9">
        <v>26.140944000000001</v>
      </c>
      <c r="J541" s="8">
        <v>15.874617000000001</v>
      </c>
      <c r="P541" s="9">
        <v>27.042355000000001</v>
      </c>
      <c r="Q541" s="8">
        <v>15.87454</v>
      </c>
    </row>
    <row r="542" spans="1:17" x14ac:dyDescent="0.3">
      <c r="A542">
        <v>31.549413999999999</v>
      </c>
      <c r="B542">
        <v>17.486764999999998</v>
      </c>
      <c r="C542">
        <f t="shared" si="18"/>
        <v>16.307687577995907</v>
      </c>
      <c r="E542" s="9">
        <v>4.4884420438690498</v>
      </c>
      <c r="F542" s="8">
        <v>15.2843616848031</v>
      </c>
      <c r="G542" s="1">
        <f t="shared" si="19"/>
        <v>15.745580784803099</v>
      </c>
      <c r="I542" s="9">
        <v>27.042355000000001</v>
      </c>
      <c r="J542" s="8">
        <v>15.878227000000001</v>
      </c>
      <c r="P542" s="9">
        <v>27.943766</v>
      </c>
      <c r="Q542" s="8">
        <v>15.877668</v>
      </c>
    </row>
    <row r="543" spans="1:17" x14ac:dyDescent="0.3">
      <c r="A543">
        <v>32.450825000000002</v>
      </c>
      <c r="B543">
        <v>17.49164</v>
      </c>
      <c r="C543">
        <f t="shared" si="18"/>
        <v>16.312562577995909</v>
      </c>
      <c r="E543" s="9">
        <v>4.61763868495854</v>
      </c>
      <c r="F543" s="8">
        <v>15.312076606914401</v>
      </c>
      <c r="G543" s="1">
        <f t="shared" si="19"/>
        <v>15.7732957069144</v>
      </c>
      <c r="I543" s="9">
        <v>27.943766</v>
      </c>
      <c r="J543" s="8">
        <v>15.881489999999999</v>
      </c>
      <c r="P543" s="9">
        <v>28.845179000000002</v>
      </c>
      <c r="Q543" s="8">
        <v>15.880822</v>
      </c>
    </row>
    <row r="544" spans="1:17" x14ac:dyDescent="0.3">
      <c r="A544">
        <v>33.352238</v>
      </c>
      <c r="B544">
        <v>17.496305</v>
      </c>
      <c r="C544">
        <f t="shared" si="18"/>
        <v>16.317227577995908</v>
      </c>
      <c r="E544" s="9">
        <v>4.7505541594901803</v>
      </c>
      <c r="F544" s="8">
        <v>15.338926255981701</v>
      </c>
      <c r="G544" s="1">
        <f t="shared" si="19"/>
        <v>15.8001453559817</v>
      </c>
      <c r="I544" s="9">
        <v>28.845179000000002</v>
      </c>
      <c r="J544" s="8">
        <v>15.884556999999999</v>
      </c>
      <c r="P544" s="9">
        <v>29.746590000000001</v>
      </c>
      <c r="Q544" s="8">
        <v>15.883825999999999</v>
      </c>
    </row>
    <row r="545" spans="1:17" x14ac:dyDescent="0.3">
      <c r="A545">
        <v>34.25365</v>
      </c>
      <c r="B545">
        <v>17.500730000000001</v>
      </c>
      <c r="C545">
        <f t="shared" si="18"/>
        <v>16.321652577995909</v>
      </c>
      <c r="E545" s="9">
        <v>4.8872955114401497</v>
      </c>
      <c r="F545" s="8">
        <v>15.3649319057896</v>
      </c>
      <c r="G545" s="1">
        <f t="shared" si="19"/>
        <v>15.826151005789599</v>
      </c>
      <c r="I545" s="9">
        <v>29.746590000000001</v>
      </c>
      <c r="J545" s="8">
        <v>15.887482</v>
      </c>
      <c r="P545" s="9">
        <v>30.648002999999999</v>
      </c>
      <c r="Q545" s="8">
        <v>15.886654999999999</v>
      </c>
    </row>
    <row r="546" spans="1:17" x14ac:dyDescent="0.3">
      <c r="A546">
        <v>35.155059999999999</v>
      </c>
      <c r="B546">
        <v>17.504940000000001</v>
      </c>
      <c r="C546">
        <f t="shared" si="18"/>
        <v>16.32586257799591</v>
      </c>
      <c r="E546" s="9">
        <v>5.0279728659693603</v>
      </c>
      <c r="F546" s="8">
        <v>15.3901147195504</v>
      </c>
      <c r="G546" s="1">
        <f t="shared" si="19"/>
        <v>15.851333819550399</v>
      </c>
      <c r="I546" s="9">
        <v>30.648002999999999</v>
      </c>
      <c r="J546" s="8">
        <v>15.890223000000001</v>
      </c>
      <c r="P546" s="9">
        <v>31.549413999999999</v>
      </c>
      <c r="Q546" s="8">
        <v>15.889307000000001</v>
      </c>
    </row>
    <row r="547" spans="1:17" x14ac:dyDescent="0.3">
      <c r="A547">
        <v>36.056472999999997</v>
      </c>
      <c r="B547">
        <v>17.508963000000001</v>
      </c>
      <c r="C547">
        <f t="shared" si="18"/>
        <v>16.32988557799591</v>
      </c>
      <c r="E547" s="9">
        <v>5.1726995181131503</v>
      </c>
      <c r="F547" s="8">
        <v>15.414495717898401</v>
      </c>
      <c r="G547" s="1">
        <f t="shared" si="19"/>
        <v>15.8757148178984</v>
      </c>
      <c r="I547" s="9">
        <v>31.549413999999999</v>
      </c>
      <c r="J547" s="8">
        <v>15.892733</v>
      </c>
      <c r="P547" s="9">
        <v>32.450825000000002</v>
      </c>
      <c r="Q547" s="8">
        <v>15.891785</v>
      </c>
    </row>
    <row r="548" spans="1:17" x14ac:dyDescent="0.3">
      <c r="A548">
        <v>36.957886000000002</v>
      </c>
      <c r="B548">
        <v>17.512813999999999</v>
      </c>
      <c r="C548">
        <f t="shared" si="18"/>
        <v>16.333736577995907</v>
      </c>
      <c r="E548" s="9">
        <v>5.3215920240239196</v>
      </c>
      <c r="F548" s="8">
        <v>15.438095749034</v>
      </c>
      <c r="G548" s="1">
        <f t="shared" si="19"/>
        <v>15.899314849033999</v>
      </c>
      <c r="I548" s="9">
        <v>32.450825000000002</v>
      </c>
      <c r="J548" s="8">
        <v>15.895098000000001</v>
      </c>
      <c r="P548" s="9">
        <v>33.352238</v>
      </c>
      <c r="Q548" s="8">
        <v>15.894140999999999</v>
      </c>
    </row>
    <row r="549" spans="1:17" x14ac:dyDescent="0.3">
      <c r="A549">
        <v>37.859295000000003</v>
      </c>
      <c r="B549">
        <v>17.516487000000001</v>
      </c>
      <c r="C549">
        <f t="shared" si="18"/>
        <v>16.33740957799591</v>
      </c>
      <c r="E549" s="9">
        <v>5.4747702948400203</v>
      </c>
      <c r="F549" s="8">
        <v>15.4609354610211</v>
      </c>
      <c r="G549" s="1">
        <f t="shared" si="19"/>
        <v>15.922154561021099</v>
      </c>
      <c r="I549" s="9">
        <v>33.352238</v>
      </c>
      <c r="J549" s="8">
        <v>15.897342999999999</v>
      </c>
      <c r="P549" s="9">
        <v>34.25365</v>
      </c>
      <c r="Q549" s="8">
        <v>15.896356000000001</v>
      </c>
    </row>
    <row r="550" spans="1:17" x14ac:dyDescent="0.3">
      <c r="A550">
        <v>38.760708000000001</v>
      </c>
      <c r="B550">
        <v>17.52</v>
      </c>
      <c r="C550">
        <f t="shared" si="18"/>
        <v>16.340922577995908</v>
      </c>
      <c r="E550" s="9">
        <v>5.6323576932566297</v>
      </c>
      <c r="F550" s="8">
        <v>15.483035276227699</v>
      </c>
      <c r="G550" s="1">
        <f t="shared" si="19"/>
        <v>15.944254376227699</v>
      </c>
      <c r="I550" s="9">
        <v>34.25365</v>
      </c>
      <c r="J550" s="8">
        <v>15.899455</v>
      </c>
      <c r="P550" s="9">
        <v>35.155059999999999</v>
      </c>
      <c r="Q550" s="8">
        <v>15.898417</v>
      </c>
    </row>
    <row r="551" spans="1:17" x14ac:dyDescent="0.3">
      <c r="A551">
        <v>39.662120000000002</v>
      </c>
      <c r="B551">
        <v>17.523363</v>
      </c>
      <c r="C551">
        <f t="shared" si="18"/>
        <v>16.344285577995908</v>
      </c>
      <c r="E551" s="9">
        <v>5.7944811328764096</v>
      </c>
      <c r="F551" s="8">
        <v>15.504415367889401</v>
      </c>
      <c r="G551" s="1">
        <f t="shared" si="19"/>
        <v>15.9656344678894</v>
      </c>
      <c r="I551" s="9">
        <v>35.155059999999999</v>
      </c>
      <c r="J551" s="8">
        <v>15.901417</v>
      </c>
      <c r="P551" s="9">
        <v>36.056472999999997</v>
      </c>
      <c r="Q551" s="8">
        <v>15.900327000000001</v>
      </c>
    </row>
    <row r="552" spans="1:17" x14ac:dyDescent="0.3">
      <c r="A552">
        <v>40.563533999999997</v>
      </c>
      <c r="B552">
        <v>17.526585000000001</v>
      </c>
      <c r="C552">
        <f t="shared" si="18"/>
        <v>16.347507577995909</v>
      </c>
      <c r="E552" s="9">
        <v>5.9612711804198302</v>
      </c>
      <c r="F552" s="8">
        <v>15.5250956387614</v>
      </c>
      <c r="G552" s="1">
        <f t="shared" si="19"/>
        <v>15.986314738761399</v>
      </c>
      <c r="I552" s="9">
        <v>36.056472999999997</v>
      </c>
      <c r="J552" s="8">
        <v>15.903264999999999</v>
      </c>
      <c r="P552" s="9">
        <v>36.957886000000002</v>
      </c>
      <c r="Q552" s="8">
        <v>15.902082999999999</v>
      </c>
    </row>
    <row r="553" spans="1:17" x14ac:dyDescent="0.3">
      <c r="A553">
        <v>41.464942999999998</v>
      </c>
      <c r="B553">
        <v>17.529675999999998</v>
      </c>
      <c r="C553">
        <f t="shared" si="18"/>
        <v>16.350598577995907</v>
      </c>
      <c r="E553" s="9">
        <v>6.13286216087754</v>
      </c>
      <c r="F553" s="8">
        <v>15.545095701821401</v>
      </c>
      <c r="G553" s="1">
        <f t="shared" si="19"/>
        <v>16.0063148018214</v>
      </c>
      <c r="I553" s="9">
        <v>36.957886000000002</v>
      </c>
      <c r="J553" s="8">
        <v>15.905011999999999</v>
      </c>
      <c r="P553" s="9">
        <v>37.859295000000003</v>
      </c>
      <c r="Q553" s="8">
        <v>15.903781</v>
      </c>
    </row>
    <row r="554" spans="1:17" x14ac:dyDescent="0.3">
      <c r="A554">
        <v>42.366356000000003</v>
      </c>
      <c r="B554">
        <v>17.532646</v>
      </c>
      <c r="C554">
        <f t="shared" si="18"/>
        <v>16.353568577995908</v>
      </c>
      <c r="E554" s="9">
        <v>6.3093922656895396</v>
      </c>
      <c r="F554" s="8">
        <v>15.564434862967801</v>
      </c>
      <c r="G554" s="1">
        <f t="shared" si="19"/>
        <v>16.025653962967802</v>
      </c>
      <c r="I554" s="9">
        <v>37.859295000000003</v>
      </c>
      <c r="J554" s="8">
        <v>15.906655000000001</v>
      </c>
      <c r="P554" s="9">
        <v>38.760708000000001</v>
      </c>
      <c r="Q554" s="8">
        <v>15.905392000000001</v>
      </c>
    </row>
    <row r="555" spans="1:17" x14ac:dyDescent="0.3">
      <c r="A555">
        <v>43.267769999999999</v>
      </c>
      <c r="B555">
        <v>17.535495999999998</v>
      </c>
      <c r="C555">
        <f t="shared" si="18"/>
        <v>16.356418577995907</v>
      </c>
      <c r="E555" s="9">
        <v>6.4910036640381703</v>
      </c>
      <c r="F555" s="8">
        <v>15.5831321056577</v>
      </c>
      <c r="G555" s="1">
        <f t="shared" si="19"/>
        <v>16.044351205657701</v>
      </c>
      <c r="I555" s="9">
        <v>38.760708000000001</v>
      </c>
      <c r="J555" s="8">
        <v>15.908187</v>
      </c>
      <c r="P555" s="9">
        <v>39.662120000000002</v>
      </c>
      <c r="Q555" s="8">
        <v>15.906891</v>
      </c>
    </row>
    <row r="556" spans="1:17" x14ac:dyDescent="0.3">
      <c r="A556">
        <v>44.169178000000002</v>
      </c>
      <c r="B556">
        <v>17.538235</v>
      </c>
      <c r="C556">
        <f t="shared" si="18"/>
        <v>16.359157577995909</v>
      </c>
      <c r="E556" s="9">
        <v>6.6778426173445702</v>
      </c>
      <c r="F556" s="8">
        <v>15.6012060774164</v>
      </c>
      <c r="G556" s="1">
        <f t="shared" si="19"/>
        <v>16.062425177416401</v>
      </c>
      <c r="I556" s="9">
        <v>39.662120000000002</v>
      </c>
      <c r="J556" s="8">
        <v>15.909625</v>
      </c>
      <c r="P556" s="9">
        <v>40.563533999999997</v>
      </c>
      <c r="Q556" s="8">
        <v>15.908279</v>
      </c>
    </row>
    <row r="557" spans="1:17" x14ac:dyDescent="0.3">
      <c r="A557">
        <v>45.070590000000003</v>
      </c>
      <c r="B557">
        <v>17.540866999999999</v>
      </c>
      <c r="C557">
        <f t="shared" si="18"/>
        <v>16.361789577995907</v>
      </c>
      <c r="E557" s="9">
        <v>6.87005959706089</v>
      </c>
      <c r="F557" s="8">
        <v>15.6186750781473</v>
      </c>
      <c r="G557" s="1">
        <f t="shared" si="19"/>
        <v>16.079894178147299</v>
      </c>
      <c r="I557" s="9">
        <v>40.563533999999997</v>
      </c>
      <c r="J557" s="8">
        <v>15.910977000000001</v>
      </c>
      <c r="P557" s="9">
        <v>41.464942999999998</v>
      </c>
      <c r="Q557" s="8">
        <v>15.909557</v>
      </c>
    </row>
    <row r="558" spans="1:17" x14ac:dyDescent="0.3">
      <c r="A558">
        <v>45.972003999999998</v>
      </c>
      <c r="B558">
        <v>17.543396000000001</v>
      </c>
      <c r="C558">
        <f t="shared" si="18"/>
        <v>16.36431857799591</v>
      </c>
      <c r="E558" s="9">
        <v>7.0678094058530396</v>
      </c>
      <c r="F558" s="8">
        <v>15.6355570501635</v>
      </c>
      <c r="G558" s="1">
        <f t="shared" si="19"/>
        <v>16.0967761501635</v>
      </c>
      <c r="I558" s="9">
        <v>41.464942999999998</v>
      </c>
      <c r="J558" s="8">
        <v>15.91225</v>
      </c>
      <c r="P558" s="9">
        <v>42.366356000000003</v>
      </c>
      <c r="Q558" s="8">
        <v>15.910799000000001</v>
      </c>
    </row>
    <row r="559" spans="1:17" x14ac:dyDescent="0.3">
      <c r="A559">
        <v>46.873412999999999</v>
      </c>
      <c r="B559">
        <v>17.545826000000002</v>
      </c>
      <c r="C559">
        <f t="shared" si="18"/>
        <v>16.36674857799591</v>
      </c>
      <c r="E559" s="9">
        <v>7.2712513022715699</v>
      </c>
      <c r="F559" s="8">
        <v>15.651869569859601</v>
      </c>
      <c r="G559" s="1">
        <f t="shared" si="19"/>
        <v>16.1130886698596</v>
      </c>
      <c r="I559" s="9">
        <v>42.366356000000003</v>
      </c>
      <c r="J559" s="8">
        <v>15.913449999999999</v>
      </c>
      <c r="P559" s="9">
        <v>43.267769999999999</v>
      </c>
      <c r="Q559" s="8">
        <v>15.911991</v>
      </c>
    </row>
    <row r="560" spans="1:17" x14ac:dyDescent="0.3">
      <c r="A560">
        <v>47.774825999999997</v>
      </c>
      <c r="B560">
        <v>17.548169999999999</v>
      </c>
      <c r="C560">
        <f t="shared" si="18"/>
        <v>16.369092577995907</v>
      </c>
      <c r="E560" s="9">
        <v>7.4805491290111599</v>
      </c>
      <c r="F560" s="8">
        <v>15.667629840938501</v>
      </c>
      <c r="G560" s="1">
        <f t="shared" si="19"/>
        <v>16.1288489409385</v>
      </c>
      <c r="I560" s="9">
        <v>43.267769999999999</v>
      </c>
      <c r="J560" s="8">
        <v>15.914585000000001</v>
      </c>
      <c r="P560" s="9">
        <v>44.169178000000002</v>
      </c>
      <c r="Q560" s="8">
        <v>15.913107999999999</v>
      </c>
    </row>
    <row r="561" spans="1:17" x14ac:dyDescent="0.3">
      <c r="A561">
        <v>48.67624</v>
      </c>
      <c r="B561">
        <v>17.550428</v>
      </c>
      <c r="C561">
        <f t="shared" si="18"/>
        <v>16.371350577995909</v>
      </c>
      <c r="E561" s="9">
        <v>7.6958714448619698</v>
      </c>
      <c r="F561" s="8">
        <v>15.682854689104399</v>
      </c>
      <c r="G561" s="1">
        <f t="shared" si="19"/>
        <v>16.1440737891044</v>
      </c>
      <c r="I561" s="9">
        <v>44.169178000000002</v>
      </c>
      <c r="J561" s="8">
        <v>15.915661999999999</v>
      </c>
      <c r="P561" s="9">
        <v>45.070590000000003</v>
      </c>
      <c r="Q561" s="8">
        <v>15.914149</v>
      </c>
    </row>
    <row r="562" spans="1:17" x14ac:dyDescent="0.3">
      <c r="A562">
        <v>49.577652</v>
      </c>
      <c r="B562">
        <v>17.552605</v>
      </c>
      <c r="C562">
        <f t="shared" si="18"/>
        <v>16.373527577995908</v>
      </c>
      <c r="E562" s="9">
        <v>7.9173916604590504</v>
      </c>
      <c r="F562" s="8">
        <v>15.697560558134599</v>
      </c>
      <c r="G562" s="1">
        <f t="shared" si="19"/>
        <v>16.158779658134598</v>
      </c>
      <c r="I562" s="9">
        <v>45.070590000000003</v>
      </c>
      <c r="J562" s="8">
        <v>15.916679999999999</v>
      </c>
      <c r="P562" s="9">
        <v>45.972003999999998</v>
      </c>
      <c r="Q562" s="8">
        <v>15.915115999999999</v>
      </c>
    </row>
    <row r="563" spans="1:17" x14ac:dyDescent="0.3">
      <c r="A563">
        <v>50.479059999999997</v>
      </c>
      <c r="B563">
        <v>17.554698999999999</v>
      </c>
      <c r="C563">
        <f t="shared" si="18"/>
        <v>16.375621577995908</v>
      </c>
      <c r="E563" s="9">
        <v>8.1452881779392907</v>
      </c>
      <c r="F563" s="8">
        <v>15.711763507236601</v>
      </c>
      <c r="G563" s="1">
        <f t="shared" si="19"/>
        <v>16.172982607236602</v>
      </c>
      <c r="I563" s="9">
        <v>45.972003999999998</v>
      </c>
      <c r="J563" s="8">
        <v>15.917636999999999</v>
      </c>
      <c r="P563" s="9">
        <v>46.873412999999999</v>
      </c>
      <c r="Q563" s="8">
        <v>15.916035000000001</v>
      </c>
    </row>
    <row r="564" spans="1:17" x14ac:dyDescent="0.3">
      <c r="A564">
        <v>51.380474</v>
      </c>
      <c r="B564">
        <v>17.556712999999998</v>
      </c>
      <c r="C564">
        <f t="shared" si="18"/>
        <v>16.377635577995907</v>
      </c>
      <c r="E564" s="9">
        <v>8.3797445346181902</v>
      </c>
      <c r="F564" s="8">
        <v>15.7254792096033</v>
      </c>
      <c r="G564" s="1">
        <f t="shared" si="19"/>
        <v>16.186698309603301</v>
      </c>
      <c r="I564" s="9">
        <v>46.873412999999999</v>
      </c>
      <c r="J564" s="8">
        <v>15.918549000000001</v>
      </c>
      <c r="P564" s="9">
        <v>47.774825999999997</v>
      </c>
      <c r="Q564" s="8">
        <v>15.916907999999999</v>
      </c>
    </row>
    <row r="565" spans="1:17" x14ac:dyDescent="0.3">
      <c r="A565">
        <v>52.281886999999998</v>
      </c>
      <c r="B565">
        <v>17.55865</v>
      </c>
      <c r="C565">
        <f t="shared" si="18"/>
        <v>16.379572577995908</v>
      </c>
      <c r="E565" s="9">
        <v>8.6209495508024006</v>
      </c>
      <c r="F565" s="8">
        <v>15.7387229520746</v>
      </c>
      <c r="G565" s="1">
        <f t="shared" si="19"/>
        <v>16.199942052074601</v>
      </c>
      <c r="I565" s="9">
        <v>47.774825999999997</v>
      </c>
      <c r="J565" s="8">
        <v>15.919419</v>
      </c>
      <c r="P565" s="9">
        <v>48.67624</v>
      </c>
      <c r="Q565" s="8">
        <v>15.917731</v>
      </c>
    </row>
    <row r="566" spans="1:17" x14ac:dyDescent="0.3">
      <c r="A566">
        <v>53.183295999999999</v>
      </c>
      <c r="B566">
        <v>17.560507000000001</v>
      </c>
      <c r="C566">
        <f t="shared" si="18"/>
        <v>16.38142957799591</v>
      </c>
      <c r="E566" s="9">
        <v>8.8690974818568193</v>
      </c>
      <c r="F566" s="8">
        <v>15.751509635817101</v>
      </c>
      <c r="G566" s="1">
        <f t="shared" si="19"/>
        <v>16.212728735817102</v>
      </c>
      <c r="I566" s="9">
        <v>48.67624</v>
      </c>
      <c r="J566" s="8">
        <v>15.920256</v>
      </c>
      <c r="P566" s="9">
        <v>49.577652</v>
      </c>
      <c r="Q566" s="8">
        <v>15.918509500000001</v>
      </c>
    </row>
    <row r="567" spans="1:17" x14ac:dyDescent="0.3">
      <c r="A567">
        <v>54.084710000000001</v>
      </c>
      <c r="B567">
        <v>17.562296</v>
      </c>
      <c r="C567">
        <f t="shared" si="18"/>
        <v>16.383218577995908</v>
      </c>
      <c r="E567" s="9">
        <v>9.12438817464888</v>
      </c>
      <c r="F567" s="8">
        <v>15.763853777936299</v>
      </c>
      <c r="G567" s="1">
        <f t="shared" si="19"/>
        <v>16.225072877936299</v>
      </c>
      <c r="I567" s="9">
        <v>49.577652</v>
      </c>
      <c r="J567" s="8">
        <v>15.921063</v>
      </c>
      <c r="P567" s="9">
        <v>50.479059999999997</v>
      </c>
      <c r="Q567" s="8">
        <v>15.919244000000001</v>
      </c>
    </row>
    <row r="568" spans="1:17" x14ac:dyDescent="0.3">
      <c r="A568">
        <v>54.986122000000002</v>
      </c>
      <c r="B568">
        <v>17.564033999999999</v>
      </c>
      <c r="C568">
        <f t="shared" si="18"/>
        <v>16.384956577995908</v>
      </c>
      <c r="E568" s="9">
        <v>9.3870272284959899</v>
      </c>
      <c r="F568" s="8">
        <v>15.7757695139353</v>
      </c>
      <c r="G568" s="1">
        <f t="shared" si="19"/>
        <v>16.236988613935299</v>
      </c>
      <c r="I568" s="9">
        <v>50.479059999999997</v>
      </c>
      <c r="J568" s="8">
        <v>15.921849</v>
      </c>
      <c r="P568" s="9">
        <v>51.380474</v>
      </c>
      <c r="Q568" s="8">
        <v>15.91994</v>
      </c>
    </row>
    <row r="569" spans="1:17" x14ac:dyDescent="0.3">
      <c r="A569">
        <v>55.887529999999998</v>
      </c>
      <c r="B569">
        <v>17.565709999999999</v>
      </c>
      <c r="C569">
        <f t="shared" si="18"/>
        <v>16.386632577995908</v>
      </c>
      <c r="E569" s="9">
        <v>9.6572261607457097</v>
      </c>
      <c r="F569" s="8">
        <v>15.787270600939801</v>
      </c>
      <c r="G569" s="1">
        <f t="shared" si="19"/>
        <v>16.2484897009398</v>
      </c>
      <c r="I569" s="9">
        <v>51.380474</v>
      </c>
      <c r="J569" s="8">
        <v>15.922618999999999</v>
      </c>
      <c r="P569" s="9">
        <v>52.281886999999998</v>
      </c>
      <c r="Q569" s="8">
        <v>15.920601</v>
      </c>
    </row>
    <row r="570" spans="1:17" x14ac:dyDescent="0.3">
      <c r="A570">
        <v>56.788944000000001</v>
      </c>
      <c r="B570">
        <v>17.567326000000001</v>
      </c>
      <c r="C570">
        <f t="shared" si="18"/>
        <v>16.38824857799591</v>
      </c>
      <c r="E570" s="9">
        <v>9.9352025771220394</v>
      </c>
      <c r="F570" s="8">
        <v>15.7983704216101</v>
      </c>
      <c r="G570" s="1">
        <f t="shared" si="19"/>
        <v>16.259589521610099</v>
      </c>
      <c r="I570" s="9">
        <v>52.281886999999998</v>
      </c>
      <c r="J570" s="8">
        <v>15.923355000000001</v>
      </c>
      <c r="P570" s="9">
        <v>53.183295999999999</v>
      </c>
      <c r="Q570" s="8">
        <v>15.92123</v>
      </c>
    </row>
    <row r="571" spans="1:17" x14ac:dyDescent="0.3">
      <c r="A571">
        <v>57.690356999999999</v>
      </c>
      <c r="B571">
        <v>17.568884000000001</v>
      </c>
      <c r="C571">
        <f t="shared" si="18"/>
        <v>16.389806577995909</v>
      </c>
      <c r="E571" s="9">
        <v>10.221180346974901</v>
      </c>
      <c r="F571" s="8">
        <v>15.8090819886652</v>
      </c>
      <c r="G571" s="1">
        <f t="shared" si="19"/>
        <v>16.2703010886652</v>
      </c>
      <c r="I571" s="9">
        <v>53.183295999999999</v>
      </c>
      <c r="J571" s="8">
        <v>15.924026</v>
      </c>
      <c r="P571" s="9">
        <v>54.084710000000001</v>
      </c>
      <c r="Q571" s="8">
        <v>15.921832</v>
      </c>
    </row>
    <row r="572" spans="1:17" x14ac:dyDescent="0.3">
      <c r="A572">
        <v>58.591769999999997</v>
      </c>
      <c r="B572">
        <v>17.570381000000001</v>
      </c>
      <c r="C572">
        <f t="shared" si="18"/>
        <v>16.39130357799591</v>
      </c>
      <c r="E572" s="9">
        <v>10.5153897835746</v>
      </c>
      <c r="F572" s="8">
        <v>15.8194179499475</v>
      </c>
      <c r="G572" s="1">
        <f t="shared" si="19"/>
        <v>16.280637049947501</v>
      </c>
      <c r="I572" s="9">
        <v>54.084710000000001</v>
      </c>
      <c r="J572" s="8">
        <v>15.924670000000001</v>
      </c>
      <c r="P572" s="9">
        <v>54.986122000000002</v>
      </c>
      <c r="Q572" s="8">
        <v>15.922409999999999</v>
      </c>
    </row>
    <row r="573" spans="1:17" x14ac:dyDescent="0.3">
      <c r="A573">
        <v>59.493180000000002</v>
      </c>
      <c r="B573">
        <v>17.571822999999998</v>
      </c>
      <c r="C573">
        <f t="shared" si="18"/>
        <v>16.392745577995907</v>
      </c>
      <c r="E573" s="9">
        <v>10.8180678295947</v>
      </c>
      <c r="F573" s="8">
        <v>15.8293905939615</v>
      </c>
      <c r="G573" s="1">
        <f t="shared" si="19"/>
        <v>16.2906096939615</v>
      </c>
      <c r="I573" s="9">
        <v>54.986122000000002</v>
      </c>
      <c r="J573" s="8">
        <v>15.925291</v>
      </c>
      <c r="P573" s="9">
        <v>55.887529999999998</v>
      </c>
      <c r="Q573" s="8">
        <v>15.9229555</v>
      </c>
    </row>
    <row r="574" spans="1:17" x14ac:dyDescent="0.3">
      <c r="A574">
        <v>60.394592000000003</v>
      </c>
      <c r="B574">
        <v>17.573208000000001</v>
      </c>
      <c r="C574">
        <f t="shared" si="18"/>
        <v>16.394130577995909</v>
      </c>
      <c r="E574" s="9">
        <v>11.129458247935499</v>
      </c>
      <c r="F574" s="8">
        <v>15.8390118558205</v>
      </c>
      <c r="G574" s="1">
        <f t="shared" si="19"/>
        <v>16.300230955820499</v>
      </c>
      <c r="I574" s="9">
        <v>55.887529999999998</v>
      </c>
      <c r="J574" s="8">
        <v>15.925891999999999</v>
      </c>
      <c r="P574" s="9">
        <v>56.788944000000001</v>
      </c>
      <c r="Q574" s="8">
        <v>15.92347</v>
      </c>
    </row>
    <row r="575" spans="1:17" x14ac:dyDescent="0.3">
      <c r="A575">
        <v>61.296005000000001</v>
      </c>
      <c r="B575">
        <v>17.574553999999999</v>
      </c>
      <c r="C575">
        <f t="shared" si="18"/>
        <v>16.395476577995908</v>
      </c>
      <c r="E575" s="9">
        <v>11.4498118180387</v>
      </c>
      <c r="F575" s="8">
        <v>15.848293323544899</v>
      </c>
      <c r="G575" s="1">
        <f t="shared" si="19"/>
        <v>16.309512423544898</v>
      </c>
      <c r="I575" s="9">
        <v>56.788944000000001</v>
      </c>
      <c r="J575" s="8">
        <v>15.9264765</v>
      </c>
      <c r="P575" s="9">
        <v>57.690356999999999</v>
      </c>
      <c r="Q575" s="8">
        <v>15.923964</v>
      </c>
    </row>
    <row r="576" spans="1:17" x14ac:dyDescent="0.3">
      <c r="A576">
        <v>62.197414000000002</v>
      </c>
      <c r="B576">
        <v>17.575855000000001</v>
      </c>
      <c r="C576">
        <f t="shared" si="18"/>
        <v>16.396777577995909</v>
      </c>
      <c r="E576" s="9">
        <v>11.7793865378543</v>
      </c>
      <c r="F576" s="8">
        <v>15.8572462446537</v>
      </c>
      <c r="G576" s="1">
        <f t="shared" si="19"/>
        <v>16.318465344653699</v>
      </c>
      <c r="I576" s="9">
        <v>57.690356999999999</v>
      </c>
      <c r="J576" s="8">
        <v>15.927046000000001</v>
      </c>
      <c r="P576" s="9">
        <v>58.591769999999997</v>
      </c>
      <c r="Q576" s="8">
        <v>15.924440000000001</v>
      </c>
    </row>
    <row r="577" spans="1:17" x14ac:dyDescent="0.3">
      <c r="A577">
        <v>63.098827</v>
      </c>
      <c r="B577">
        <v>17.577112</v>
      </c>
      <c r="C577">
        <f t="shared" si="18"/>
        <v>16.398034577995908</v>
      </c>
      <c r="E577" s="9">
        <v>12.118447831619401</v>
      </c>
      <c r="F577" s="8">
        <v>15.8658815330003</v>
      </c>
      <c r="G577" s="1">
        <f t="shared" si="19"/>
        <v>16.327100633000299</v>
      </c>
      <c r="I577" s="9">
        <v>58.591769999999997</v>
      </c>
      <c r="J577" s="8">
        <v>15.927605</v>
      </c>
      <c r="P577" s="9">
        <v>59.493180000000002</v>
      </c>
      <c r="Q577" s="8">
        <v>15.924901999999999</v>
      </c>
    </row>
    <row r="578" spans="1:17" x14ac:dyDescent="0.3">
      <c r="A578">
        <v>64.000240000000005</v>
      </c>
      <c r="B578">
        <v>17.578325</v>
      </c>
      <c r="C578">
        <f t="shared" si="18"/>
        <v>16.399247577995908</v>
      </c>
      <c r="E578" s="9">
        <v>12.467268763619501</v>
      </c>
      <c r="F578" s="8">
        <v>15.8742097758025</v>
      </c>
      <c r="G578" s="1">
        <f t="shared" si="19"/>
        <v>16.335428875802499</v>
      </c>
      <c r="I578" s="9">
        <v>59.493180000000002</v>
      </c>
      <c r="J578" s="8">
        <v>15.928144</v>
      </c>
      <c r="P578" s="9">
        <v>60.394592000000003</v>
      </c>
      <c r="Q578" s="8">
        <v>15.925352</v>
      </c>
    </row>
    <row r="579" spans="1:17" x14ac:dyDescent="0.3">
      <c r="A579">
        <v>64.901650000000004</v>
      </c>
      <c r="B579">
        <v>17.579495999999999</v>
      </c>
      <c r="C579">
        <f t="shared" si="18"/>
        <v>16.400418577995907</v>
      </c>
      <c r="E579" s="9">
        <v>12.8261302581009</v>
      </c>
      <c r="F579" s="8">
        <v>15.8822412408263</v>
      </c>
      <c r="G579" s="1">
        <f t="shared" si="19"/>
        <v>16.343460340826301</v>
      </c>
      <c r="I579" s="9">
        <v>60.394592000000003</v>
      </c>
      <c r="J579" s="8">
        <v>15.928642</v>
      </c>
      <c r="P579" s="9">
        <v>61.296005000000001</v>
      </c>
      <c r="Q579" s="8">
        <v>15.925794</v>
      </c>
    </row>
    <row r="580" spans="1:17" x14ac:dyDescent="0.3">
      <c r="A580">
        <v>65.803060000000002</v>
      </c>
      <c r="B580">
        <v>17.580627</v>
      </c>
      <c r="C580">
        <f t="shared" ref="C580:C643" si="20">B580-2*PI()*1.68*(0.1187-0.007)</f>
        <v>16.401549577995908</v>
      </c>
      <c r="E580" s="9">
        <v>13.1953213255149</v>
      </c>
      <c r="F580" s="8">
        <v>15.8899858836802</v>
      </c>
      <c r="G580" s="1">
        <f t="shared" ref="G580:G643" si="21">$B$3+F580</f>
        <v>16.351204983680201</v>
      </c>
      <c r="I580" s="9">
        <v>61.296005000000001</v>
      </c>
      <c r="J580" s="8">
        <v>15.929121</v>
      </c>
      <c r="P580" s="9">
        <v>62.197414000000002</v>
      </c>
      <c r="Q580" s="8">
        <v>15.9262295</v>
      </c>
    </row>
    <row r="581" spans="1:17" x14ac:dyDescent="0.3">
      <c r="A581">
        <v>66.704475000000002</v>
      </c>
      <c r="B581">
        <v>17.581717000000001</v>
      </c>
      <c r="C581">
        <f t="shared" si="20"/>
        <v>16.40263957799591</v>
      </c>
      <c r="E581" s="9">
        <v>13.575139295273001</v>
      </c>
      <c r="F581" s="8">
        <v>15.8974533551877</v>
      </c>
      <c r="G581" s="1">
        <f t="shared" si="21"/>
        <v>16.358672455187701</v>
      </c>
      <c r="I581" s="9">
        <v>62.197414000000002</v>
      </c>
      <c r="J581" s="8">
        <v>15.929582999999999</v>
      </c>
      <c r="P581" s="9">
        <v>63.098827</v>
      </c>
      <c r="Q581" s="8">
        <v>15.926662</v>
      </c>
    </row>
    <row r="582" spans="1:17" x14ac:dyDescent="0.3">
      <c r="A582">
        <v>67.605890000000002</v>
      </c>
      <c r="B582">
        <v>17.582771000000001</v>
      </c>
      <c r="C582">
        <f t="shared" si="20"/>
        <v>16.403693577995909</v>
      </c>
      <c r="E582" s="9">
        <v>13.965890055202401</v>
      </c>
      <c r="F582" s="8">
        <v>15.9046530088024</v>
      </c>
      <c r="G582" s="1">
        <f t="shared" si="21"/>
        <v>16.3658721088024</v>
      </c>
      <c r="I582" s="9">
        <v>63.098827</v>
      </c>
      <c r="J582" s="8">
        <v>15.93003</v>
      </c>
      <c r="P582" s="9">
        <v>64.000240000000005</v>
      </c>
      <c r="Q582" s="8">
        <v>15.927095</v>
      </c>
    </row>
    <row r="583" spans="1:17" x14ac:dyDescent="0.3">
      <c r="A583">
        <v>68.507300000000001</v>
      </c>
      <c r="B583">
        <v>17.583794000000001</v>
      </c>
      <c r="C583">
        <f t="shared" si="20"/>
        <v>16.404716577995909</v>
      </c>
      <c r="E583" s="9">
        <v>14.3678882978939</v>
      </c>
      <c r="F583" s="8">
        <v>15.911593908038</v>
      </c>
      <c r="G583" s="1">
        <f t="shared" si="21"/>
        <v>16.372813008038001</v>
      </c>
      <c r="I583" s="9">
        <v>64.000240000000005</v>
      </c>
      <c r="J583" s="8">
        <v>15.930462</v>
      </c>
      <c r="P583" s="9">
        <v>64.901650000000004</v>
      </c>
      <c r="Q583" s="8">
        <v>15.927503</v>
      </c>
    </row>
    <row r="584" spans="1:17" x14ac:dyDescent="0.3">
      <c r="A584">
        <v>69.408714000000003</v>
      </c>
      <c r="B584">
        <v>17.584783999999999</v>
      </c>
      <c r="C584">
        <f t="shared" si="20"/>
        <v>16.405706577995907</v>
      </c>
      <c r="E584" s="9">
        <v>14.7814577741407</v>
      </c>
      <c r="F584" s="8">
        <v>15.918284833887199</v>
      </c>
      <c r="G584" s="1">
        <f t="shared" si="21"/>
        <v>16.3795039338872</v>
      </c>
      <c r="I584" s="9">
        <v>64.901650000000004</v>
      </c>
      <c r="J584" s="8">
        <v>15.930880999999999</v>
      </c>
      <c r="P584" s="9">
        <v>65.803060000000002</v>
      </c>
      <c r="Q584" s="8">
        <v>15.927867000000001</v>
      </c>
    </row>
    <row r="585" spans="1:17" x14ac:dyDescent="0.3">
      <c r="A585">
        <v>70.310119999999998</v>
      </c>
      <c r="B585">
        <v>17.585740999999999</v>
      </c>
      <c r="C585">
        <f t="shared" si="20"/>
        <v>16.406663577995907</v>
      </c>
      <c r="E585" s="9">
        <v>15.206931553672399</v>
      </c>
      <c r="F585" s="8">
        <v>15.9247342922057</v>
      </c>
      <c r="G585" s="1">
        <f t="shared" si="21"/>
        <v>16.3859533922057</v>
      </c>
      <c r="I585" s="9">
        <v>65.803060000000002</v>
      </c>
      <c r="J585" s="8">
        <v>15.931289</v>
      </c>
      <c r="P585" s="9">
        <v>66.704475000000002</v>
      </c>
      <c r="Q585" s="8">
        <v>15.92822</v>
      </c>
    </row>
    <row r="586" spans="1:17" x14ac:dyDescent="0.3">
      <c r="A586">
        <v>71.211529999999996</v>
      </c>
      <c r="B586">
        <v>17.586666000000001</v>
      </c>
      <c r="C586">
        <f t="shared" si="20"/>
        <v>16.407588577995909</v>
      </c>
      <c r="E586" s="9">
        <v>15.6446522933939</v>
      </c>
      <c r="F586" s="8">
        <v>15.9309505210419</v>
      </c>
      <c r="G586" s="1">
        <f t="shared" si="21"/>
        <v>16.392169621041901</v>
      </c>
      <c r="I586" s="9">
        <v>66.704475000000002</v>
      </c>
      <c r="J586" s="8">
        <v>15.931683</v>
      </c>
      <c r="P586" s="9">
        <v>67.605890000000002</v>
      </c>
      <c r="Q586" s="8">
        <v>15.928561999999999</v>
      </c>
    </row>
    <row r="587" spans="1:17" x14ac:dyDescent="0.3">
      <c r="A587">
        <v>72.112945999999994</v>
      </c>
      <c r="B587">
        <v>17.587562999999999</v>
      </c>
      <c r="C587">
        <f t="shared" si="20"/>
        <v>16.408485577995908</v>
      </c>
      <c r="E587" s="9">
        <v>16.0949725133455</v>
      </c>
      <c r="F587" s="8">
        <v>15.936941497893301</v>
      </c>
      <c r="G587" s="1">
        <f t="shared" si="21"/>
        <v>16.398160597893302</v>
      </c>
      <c r="I587" s="9">
        <v>67.605890000000002</v>
      </c>
      <c r="J587" s="8">
        <v>15.932053</v>
      </c>
      <c r="P587" s="9">
        <v>68.507300000000001</v>
      </c>
      <c r="Q587" s="8">
        <v>15.928896</v>
      </c>
    </row>
    <row r="588" spans="1:17" x14ac:dyDescent="0.3">
      <c r="A588">
        <v>73.014359999999996</v>
      </c>
      <c r="B588">
        <v>17.588429999999999</v>
      </c>
      <c r="C588">
        <f t="shared" si="20"/>
        <v>16.409352577995907</v>
      </c>
      <c r="E588" s="9">
        <v>16.5582548806061</v>
      </c>
      <c r="F588" s="8">
        <v>15.942714946875901</v>
      </c>
      <c r="G588" s="1">
        <f t="shared" si="21"/>
        <v>16.4039340468759</v>
      </c>
      <c r="I588" s="9">
        <v>68.507300000000001</v>
      </c>
      <c r="J588" s="8">
        <v>15.932409</v>
      </c>
      <c r="P588" s="9">
        <v>69.408714000000003</v>
      </c>
      <c r="Q588" s="8">
        <v>15.929221</v>
      </c>
    </row>
    <row r="589" spans="1:17" x14ac:dyDescent="0.3">
      <c r="A589">
        <v>73.915769999999995</v>
      </c>
      <c r="B589">
        <v>17.589269999999999</v>
      </c>
      <c r="C589">
        <f t="shared" si="20"/>
        <v>16.410192577995907</v>
      </c>
      <c r="E589" s="9">
        <v>17.0348725013686</v>
      </c>
      <c r="F589" s="8">
        <v>15.948278345792501</v>
      </c>
      <c r="G589" s="1">
        <f t="shared" si="21"/>
        <v>16.4094974457925</v>
      </c>
      <c r="I589" s="9">
        <v>69.408714000000003</v>
      </c>
      <c r="J589" s="8">
        <v>15.932753</v>
      </c>
      <c r="P589" s="9">
        <v>70.310119999999998</v>
      </c>
      <c r="Q589" s="8">
        <v>15.929541</v>
      </c>
    </row>
    <row r="590" spans="1:17" x14ac:dyDescent="0.3">
      <c r="A590">
        <v>74.817183999999997</v>
      </c>
      <c r="B590">
        <v>17.590084000000001</v>
      </c>
      <c r="C590">
        <f t="shared" si="20"/>
        <v>16.411006577995909</v>
      </c>
      <c r="E590" s="9">
        <v>17.5252092214225</v>
      </c>
      <c r="F590" s="8">
        <v>15.953638933088101</v>
      </c>
      <c r="G590" s="1">
        <f t="shared" si="21"/>
        <v>16.414858033088102</v>
      </c>
      <c r="I590" s="9">
        <v>70.310119999999998</v>
      </c>
      <c r="J590" s="8">
        <v>15.933083999999999</v>
      </c>
      <c r="P590" s="9">
        <v>71.211529999999996</v>
      </c>
      <c r="Q590" s="8">
        <v>15.929853</v>
      </c>
    </row>
    <row r="591" spans="1:17" x14ac:dyDescent="0.3">
      <c r="A591">
        <v>75.718590000000006</v>
      </c>
      <c r="B591">
        <v>17.590873999999999</v>
      </c>
      <c r="C591">
        <f t="shared" si="20"/>
        <v>16.411796577995908</v>
      </c>
      <c r="E591" s="9">
        <v>18.029659935285199</v>
      </c>
      <c r="F591" s="8">
        <v>15.958803714685301</v>
      </c>
      <c r="G591" s="1">
        <f t="shared" si="21"/>
        <v>16.4200228146853</v>
      </c>
      <c r="I591" s="9">
        <v>71.211529999999996</v>
      </c>
      <c r="J591" s="8">
        <v>15.933401999999999</v>
      </c>
      <c r="P591" s="9">
        <v>72.112945999999994</v>
      </c>
      <c r="Q591" s="8">
        <v>15.930161999999999</v>
      </c>
    </row>
    <row r="592" spans="1:17" x14ac:dyDescent="0.3">
      <c r="A592">
        <v>76.62</v>
      </c>
      <c r="B592">
        <v>17.591640000000002</v>
      </c>
      <c r="C592">
        <f t="shared" si="20"/>
        <v>16.41256257799591</v>
      </c>
      <c r="E592" s="9">
        <v>18.548630904231899</v>
      </c>
      <c r="F592" s="8">
        <v>15.9637794706899</v>
      </c>
      <c r="G592" s="1">
        <f t="shared" si="21"/>
        <v>16.424998570689901</v>
      </c>
      <c r="I592" s="9">
        <v>72.112945999999994</v>
      </c>
      <c r="J592" s="8">
        <v>15.933709</v>
      </c>
      <c r="P592" s="9">
        <v>73.014359999999996</v>
      </c>
      <c r="Q592" s="8">
        <v>15.930469</v>
      </c>
    </row>
    <row r="593" spans="1:17" x14ac:dyDescent="0.3">
      <c r="A593">
        <v>77.521416000000002</v>
      </c>
      <c r="B593">
        <v>17.592382000000001</v>
      </c>
      <c r="C593">
        <f t="shared" si="20"/>
        <v>16.413304577995909</v>
      </c>
      <c r="E593" s="9">
        <v>19.082540083480101</v>
      </c>
      <c r="F593" s="8">
        <v>15.968572761960999</v>
      </c>
      <c r="G593" s="1">
        <f t="shared" si="21"/>
        <v>16.429791861961</v>
      </c>
      <c r="I593" s="9">
        <v>73.014359999999996</v>
      </c>
      <c r="J593" s="8">
        <v>15.934006999999999</v>
      </c>
      <c r="P593" s="9">
        <v>73.915769999999995</v>
      </c>
      <c r="Q593" s="8">
        <v>15.930762</v>
      </c>
    </row>
    <row r="594" spans="1:17" x14ac:dyDescent="0.3">
      <c r="A594">
        <v>78.422830000000005</v>
      </c>
      <c r="B594">
        <v>17.593102999999999</v>
      </c>
      <c r="C594">
        <f t="shared" si="20"/>
        <v>16.414025577995908</v>
      </c>
      <c r="E594" s="9">
        <v>19.6318174587906</v>
      </c>
      <c r="F594" s="8">
        <v>15.973189936542299</v>
      </c>
      <c r="G594" s="1">
        <f t="shared" si="21"/>
        <v>16.434409036542299</v>
      </c>
      <c r="I594" s="9">
        <v>73.915769999999995</v>
      </c>
      <c r="J594" s="8">
        <v>15.934293</v>
      </c>
      <c r="P594" s="9">
        <v>74.817183999999997</v>
      </c>
      <c r="Q594" s="8">
        <v>15.931031000000001</v>
      </c>
    </row>
    <row r="595" spans="1:17" x14ac:dyDescent="0.3">
      <c r="A595">
        <v>79.324240000000003</v>
      </c>
      <c r="B595">
        <v>17.593800999999999</v>
      </c>
      <c r="C595">
        <f t="shared" si="20"/>
        <v>16.414723577995908</v>
      </c>
      <c r="E595" s="9">
        <v>20.196905392758701</v>
      </c>
      <c r="F595" s="8">
        <v>15.9776371359495</v>
      </c>
      <c r="G595" s="1">
        <f t="shared" si="21"/>
        <v>16.438856235949501</v>
      </c>
      <c r="I595" s="9">
        <v>74.817183999999997</v>
      </c>
      <c r="J595" s="8">
        <v>15.934564</v>
      </c>
      <c r="P595" s="9">
        <v>75.718590000000006</v>
      </c>
      <c r="Q595" s="8">
        <v>15.931291999999999</v>
      </c>
    </row>
    <row r="596" spans="1:17" x14ac:dyDescent="0.3">
      <c r="A596">
        <v>80.225655000000003</v>
      </c>
      <c r="B596">
        <v>17.594480000000001</v>
      </c>
      <c r="C596">
        <f t="shared" si="20"/>
        <v>16.415402577995909</v>
      </c>
      <c r="E596" s="9">
        <v>20.7782589810727</v>
      </c>
      <c r="F596" s="8">
        <v>15.9819203013107</v>
      </c>
      <c r="G596" s="1">
        <f t="shared" si="21"/>
        <v>16.443139401310699</v>
      </c>
      <c r="I596" s="9">
        <v>75.718590000000006</v>
      </c>
      <c r="J596" s="8">
        <v>15.934824000000001</v>
      </c>
      <c r="P596" s="9">
        <v>76.62</v>
      </c>
      <c r="Q596" s="8">
        <v>15.931543</v>
      </c>
    </row>
    <row r="597" spans="1:17" x14ac:dyDescent="0.3">
      <c r="A597">
        <v>81.127070000000003</v>
      </c>
      <c r="B597">
        <v>17.595137000000001</v>
      </c>
      <c r="C597">
        <f t="shared" si="20"/>
        <v>16.41605957799591</v>
      </c>
      <c r="E597" s="9">
        <v>21.376346419026302</v>
      </c>
      <c r="F597" s="8">
        <v>15.986045179361501</v>
      </c>
      <c r="G597" s="1">
        <f t="shared" si="21"/>
        <v>16.447264279361502</v>
      </c>
      <c r="I597" s="9">
        <v>76.62</v>
      </c>
      <c r="J597" s="8">
        <v>15.935074</v>
      </c>
      <c r="P597" s="9">
        <v>77.521416000000002</v>
      </c>
      <c r="Q597" s="8">
        <v>15.931787</v>
      </c>
    </row>
    <row r="598" spans="1:17" x14ac:dyDescent="0.3">
      <c r="A598">
        <v>82.028469999999999</v>
      </c>
      <c r="B598">
        <v>17.595776000000001</v>
      </c>
      <c r="C598">
        <f t="shared" si="20"/>
        <v>16.416698577995909</v>
      </c>
      <c r="E598" s="9">
        <v>21.991649378582</v>
      </c>
      <c r="F598" s="8">
        <v>15.990017328288801</v>
      </c>
      <c r="G598" s="1">
        <f t="shared" si="21"/>
        <v>16.451236428288802</v>
      </c>
      <c r="I598" s="9">
        <v>77.521416000000002</v>
      </c>
      <c r="J598" s="8">
        <v>15.935313000000001</v>
      </c>
      <c r="P598" s="9">
        <v>78.422830000000005</v>
      </c>
      <c r="Q598" s="8">
        <v>15.932022999999999</v>
      </c>
    </row>
    <row r="599" spans="1:17" x14ac:dyDescent="0.3">
      <c r="A599">
        <v>82.929885999999996</v>
      </c>
      <c r="B599">
        <v>17.596394</v>
      </c>
      <c r="C599">
        <f t="shared" si="20"/>
        <v>16.417316577995908</v>
      </c>
      <c r="E599" s="9">
        <v>22.624663396287101</v>
      </c>
      <c r="F599" s="8">
        <v>15.993842123429101</v>
      </c>
      <c r="G599" s="1">
        <f t="shared" si="21"/>
        <v>16.455061223429102</v>
      </c>
      <c r="I599" s="9">
        <v>78.422830000000005</v>
      </c>
      <c r="J599" s="8">
        <v>15.935542999999999</v>
      </c>
      <c r="P599" s="9">
        <v>79.324240000000003</v>
      </c>
      <c r="Q599" s="8">
        <v>15.932252</v>
      </c>
    </row>
    <row r="600" spans="1:17" x14ac:dyDescent="0.3">
      <c r="A600">
        <v>83.831299999999999</v>
      </c>
      <c r="B600">
        <v>17.596992</v>
      </c>
      <c r="C600">
        <f t="shared" si="20"/>
        <v>16.417914577995909</v>
      </c>
      <c r="E600" s="9">
        <v>23.275898272356301</v>
      </c>
      <c r="F600" s="8">
        <v>15.9975247628166</v>
      </c>
      <c r="G600" s="1">
        <f t="shared" si="21"/>
        <v>16.458743862816601</v>
      </c>
      <c r="I600" s="9">
        <v>79.324240000000003</v>
      </c>
      <c r="J600" s="8">
        <v>15.935763</v>
      </c>
      <c r="P600" s="9">
        <v>80.225655000000003</v>
      </c>
      <c r="Q600" s="8">
        <v>15.932473999999999</v>
      </c>
    </row>
    <row r="601" spans="1:17" x14ac:dyDescent="0.3">
      <c r="A601">
        <v>84.732709999999997</v>
      </c>
      <c r="B601">
        <v>17.597574000000002</v>
      </c>
      <c r="C601">
        <f t="shared" si="20"/>
        <v>16.41849657799591</v>
      </c>
      <c r="E601" s="9">
        <v>23.945878481240499</v>
      </c>
      <c r="F601" s="8">
        <v>16.001070272586201</v>
      </c>
      <c r="G601" s="1">
        <f t="shared" si="21"/>
        <v>16.462289372586202</v>
      </c>
      <c r="I601" s="9">
        <v>80.225655000000003</v>
      </c>
      <c r="J601" s="8">
        <v>15.935974999999999</v>
      </c>
      <c r="P601" s="9">
        <v>81.127070000000003</v>
      </c>
      <c r="Q601" s="8">
        <v>15.932689999999999</v>
      </c>
    </row>
    <row r="602" spans="1:17" x14ac:dyDescent="0.3">
      <c r="A602">
        <v>85.634124999999997</v>
      </c>
      <c r="B602">
        <v>17.598137000000001</v>
      </c>
      <c r="C602">
        <f t="shared" si="20"/>
        <v>16.41905957799591</v>
      </c>
      <c r="E602" s="9">
        <v>24.6351435940153</v>
      </c>
      <c r="F602" s="8">
        <v>16.004483512230099</v>
      </c>
      <c r="G602" s="1">
        <f t="shared" si="21"/>
        <v>16.4657026122301</v>
      </c>
      <c r="I602" s="9">
        <v>81.127070000000003</v>
      </c>
      <c r="J602" s="8">
        <v>15.936178</v>
      </c>
      <c r="P602" s="9">
        <v>82.028469999999999</v>
      </c>
      <c r="Q602" s="8">
        <v>15.932899000000001</v>
      </c>
    </row>
    <row r="603" spans="1:17" x14ac:dyDescent="0.3">
      <c r="A603">
        <v>86.535539999999997</v>
      </c>
      <c r="B603">
        <v>17.598680000000002</v>
      </c>
      <c r="C603">
        <f t="shared" si="20"/>
        <v>16.41960257799591</v>
      </c>
      <c r="E603" s="9">
        <v>25.344248712925399</v>
      </c>
      <c r="F603" s="8">
        <v>16.007769179711801</v>
      </c>
      <c r="G603" s="1">
        <f t="shared" si="21"/>
        <v>16.468988279711802</v>
      </c>
      <c r="I603" s="9">
        <v>82.028469999999999</v>
      </c>
      <c r="J603" s="8">
        <v>15.936374000000001</v>
      </c>
      <c r="P603" s="9">
        <v>82.929885999999996</v>
      </c>
      <c r="Q603" s="8">
        <v>15.933102</v>
      </c>
    </row>
    <row r="604" spans="1:17" x14ac:dyDescent="0.3">
      <c r="A604">
        <v>87.436949999999996</v>
      </c>
      <c r="B604">
        <v>17.599208999999998</v>
      </c>
      <c r="C604">
        <f t="shared" si="20"/>
        <v>16.420131577995907</v>
      </c>
      <c r="E604" s="9">
        <v>26.073764918439501</v>
      </c>
      <c r="F604" s="8">
        <v>16.010931816438902</v>
      </c>
      <c r="G604" s="1">
        <f t="shared" si="21"/>
        <v>16.472150916438903</v>
      </c>
      <c r="I604" s="9">
        <v>82.929885999999996</v>
      </c>
      <c r="J604" s="8">
        <v>15.936562</v>
      </c>
      <c r="P604" s="9">
        <v>83.831299999999999</v>
      </c>
      <c r="Q604" s="8">
        <v>15.933293000000001</v>
      </c>
    </row>
    <row r="605" spans="1:17" x14ac:dyDescent="0.3">
      <c r="A605">
        <v>88.338356000000005</v>
      </c>
      <c r="B605">
        <v>17.599723999999998</v>
      </c>
      <c r="C605">
        <f t="shared" si="20"/>
        <v>16.420646577995907</v>
      </c>
      <c r="E605" s="9">
        <v>26.8242797291709</v>
      </c>
      <c r="F605" s="8">
        <v>16.013975812096501</v>
      </c>
      <c r="G605" s="1">
        <f t="shared" si="21"/>
        <v>16.475194912096502</v>
      </c>
      <c r="I605" s="9">
        <v>83.831299999999999</v>
      </c>
      <c r="J605" s="8">
        <v>15.936742000000001</v>
      </c>
      <c r="P605" s="9">
        <v>84.732709999999997</v>
      </c>
      <c r="Q605" s="8">
        <v>15.933477</v>
      </c>
    </row>
    <row r="606" spans="1:17" x14ac:dyDescent="0.3">
      <c r="A606">
        <v>89.239769999999993</v>
      </c>
      <c r="B606">
        <v>17.600227</v>
      </c>
      <c r="C606">
        <f t="shared" si="20"/>
        <v>16.421149577995909</v>
      </c>
      <c r="E606" s="9">
        <v>27.596397575038999</v>
      </c>
      <c r="F606" s="8">
        <v>16.016905409345998</v>
      </c>
      <c r="G606" s="1">
        <f t="shared" si="21"/>
        <v>16.478124509345999</v>
      </c>
      <c r="I606" s="9">
        <v>84.732709999999997</v>
      </c>
      <c r="J606" s="8">
        <v>15.936914</v>
      </c>
      <c r="P606" s="9">
        <v>85.634124999999997</v>
      </c>
      <c r="Q606" s="8">
        <v>15.933655999999999</v>
      </c>
    </row>
    <row r="607" spans="1:17" x14ac:dyDescent="0.3">
      <c r="A607">
        <v>90.141180000000006</v>
      </c>
      <c r="B607">
        <v>17.600715999999998</v>
      </c>
      <c r="C607">
        <f t="shared" si="20"/>
        <v>16.421638577995907</v>
      </c>
      <c r="E607" s="9">
        <v>28.390740284048</v>
      </c>
      <c r="F607" s="8">
        <v>16.019724708389301</v>
      </c>
      <c r="G607" s="1">
        <f t="shared" si="21"/>
        <v>16.480943808389302</v>
      </c>
      <c r="I607" s="9">
        <v>85.634124999999997</v>
      </c>
      <c r="J607" s="8">
        <v>15.937080999999999</v>
      </c>
      <c r="P607" s="9">
        <v>86.535539999999997</v>
      </c>
      <c r="Q607" s="8">
        <v>15.933827000000001</v>
      </c>
    </row>
    <row r="608" spans="1:17" x14ac:dyDescent="0.3">
      <c r="A608">
        <v>91.042595000000006</v>
      </c>
      <c r="B608">
        <v>17.601189000000002</v>
      </c>
      <c r="C608">
        <f t="shared" si="20"/>
        <v>16.42211157799591</v>
      </c>
      <c r="E608" s="9">
        <v>29.207947583079498</v>
      </c>
      <c r="F608" s="8">
        <v>16.022437671403999</v>
      </c>
      <c r="G608" s="1">
        <f t="shared" si="21"/>
        <v>16.483656771404</v>
      </c>
      <c r="I608" s="9">
        <v>86.535539999999997</v>
      </c>
      <c r="J608" s="8">
        <v>15.9372425</v>
      </c>
      <c r="P608" s="9">
        <v>87.436949999999996</v>
      </c>
      <c r="Q608" s="8">
        <v>15.933992</v>
      </c>
    </row>
    <row r="609" spans="1:17" x14ac:dyDescent="0.3">
      <c r="A609">
        <v>91.944010000000006</v>
      </c>
      <c r="B609">
        <v>17.601645999999999</v>
      </c>
      <c r="C609">
        <f t="shared" si="20"/>
        <v>16.422568577995907</v>
      </c>
      <c r="E609" s="9">
        <v>30.048677613098398</v>
      </c>
      <c r="F609" s="8">
        <v>16.0250481268504</v>
      </c>
      <c r="G609" s="1">
        <f t="shared" si="21"/>
        <v>16.486267226850401</v>
      </c>
      <c r="I609" s="9">
        <v>87.436949999999996</v>
      </c>
      <c r="J609" s="8">
        <v>15.937397000000001</v>
      </c>
      <c r="P609" s="9">
        <v>88.338356000000005</v>
      </c>
      <c r="Q609" s="8">
        <v>15.934151999999999</v>
      </c>
    </row>
    <row r="610" spans="1:17" x14ac:dyDescent="0.3">
      <c r="A610">
        <v>92.845420000000004</v>
      </c>
      <c r="B610">
        <v>17.60209</v>
      </c>
      <c r="C610">
        <f t="shared" si="20"/>
        <v>16.423012577995909</v>
      </c>
      <c r="E610" s="9">
        <v>30.913607459188999</v>
      </c>
      <c r="F610" s="8">
        <v>16.027559773655401</v>
      </c>
      <c r="G610" s="1">
        <f t="shared" si="21"/>
        <v>16.488778873655402</v>
      </c>
      <c r="I610" s="9">
        <v>88.338356000000005</v>
      </c>
      <c r="J610" s="8">
        <v>15.937543</v>
      </c>
      <c r="P610" s="9">
        <v>89.239769999999993</v>
      </c>
      <c r="Q610" s="8">
        <v>15.934305</v>
      </c>
    </row>
    <row r="611" spans="1:17" x14ac:dyDescent="0.3">
      <c r="A611">
        <v>93.746825999999999</v>
      </c>
      <c r="B611">
        <v>17.602522</v>
      </c>
      <c r="C611">
        <f t="shared" si="20"/>
        <v>16.423444577995909</v>
      </c>
      <c r="E611" s="9">
        <v>31.803433695848501</v>
      </c>
      <c r="F611" s="8">
        <v>16.029976185274201</v>
      </c>
      <c r="G611" s="1">
        <f t="shared" si="21"/>
        <v>16.491195285274202</v>
      </c>
      <c r="I611" s="9">
        <v>89.239769999999993</v>
      </c>
      <c r="J611" s="8">
        <v>15.937683</v>
      </c>
      <c r="P611" s="9">
        <v>90.141180000000006</v>
      </c>
      <c r="Q611" s="8">
        <v>15.934453</v>
      </c>
    </row>
    <row r="612" spans="1:17" x14ac:dyDescent="0.3">
      <c r="A612">
        <v>94.648240000000001</v>
      </c>
      <c r="B612">
        <v>17.60294</v>
      </c>
      <c r="C612">
        <f t="shared" si="20"/>
        <v>16.423862577995909</v>
      </c>
      <c r="E612" s="9">
        <v>32.718872947975697</v>
      </c>
      <c r="F612" s="8">
        <v>16.032300813635501</v>
      </c>
      <c r="G612" s="1">
        <f t="shared" si="21"/>
        <v>16.493519913635502</v>
      </c>
      <c r="I612" s="9">
        <v>90.141180000000006</v>
      </c>
      <c r="J612" s="8">
        <v>15.937818999999999</v>
      </c>
      <c r="P612" s="9">
        <v>91.042595000000006</v>
      </c>
      <c r="Q612" s="8">
        <v>15.934596000000001</v>
      </c>
    </row>
    <row r="613" spans="1:17" x14ac:dyDescent="0.3">
      <c r="A613">
        <v>95.54965</v>
      </c>
      <c r="B613">
        <v>17.603342000000001</v>
      </c>
      <c r="C613">
        <f t="shared" si="20"/>
        <v>16.42426457799591</v>
      </c>
      <c r="E613" s="9">
        <v>33.660662468007402</v>
      </c>
      <c r="F613" s="8">
        <v>16.034536992970999</v>
      </c>
      <c r="G613" s="1">
        <f t="shared" si="21"/>
        <v>16.495756092971</v>
      </c>
      <c r="I613" s="9">
        <v>91.042595000000006</v>
      </c>
      <c r="J613" s="8">
        <v>15.937948</v>
      </c>
      <c r="P613" s="9">
        <v>91.944010000000006</v>
      </c>
      <c r="Q613" s="8">
        <v>15.934733</v>
      </c>
    </row>
    <row r="614" spans="1:17" x14ac:dyDescent="0.3">
      <c r="A614">
        <v>96.451065</v>
      </c>
      <c r="B614">
        <v>17.603729999999999</v>
      </c>
      <c r="C614">
        <f t="shared" si="20"/>
        <v>16.424652577995907</v>
      </c>
      <c r="E614" s="9">
        <v>34.629560729667602</v>
      </c>
      <c r="F614" s="8">
        <v>16.036687943533099</v>
      </c>
      <c r="G614" s="1">
        <f t="shared" si="21"/>
        <v>16.4979070435331</v>
      </c>
      <c r="I614" s="9">
        <v>91.944010000000006</v>
      </c>
      <c r="J614" s="8">
        <v>15.938074</v>
      </c>
      <c r="P614" s="9">
        <v>92.845420000000004</v>
      </c>
      <c r="Q614" s="8">
        <v>15.934865</v>
      </c>
    </row>
    <row r="615" spans="1:17" x14ac:dyDescent="0.3">
      <c r="A615">
        <v>97.35248</v>
      </c>
      <c r="B615">
        <v>17.604105000000001</v>
      </c>
      <c r="C615">
        <f t="shared" si="20"/>
        <v>16.425027577995909</v>
      </c>
      <c r="E615" s="9">
        <v>35.626348038807002</v>
      </c>
      <c r="F615" s="8">
        <v>16.038756775204799</v>
      </c>
      <c r="G615" s="1">
        <f t="shared" si="21"/>
        <v>16.4999758752048</v>
      </c>
      <c r="I615" s="9">
        <v>92.845420000000004</v>
      </c>
      <c r="J615" s="8">
        <v>15.938195</v>
      </c>
      <c r="P615" s="9">
        <v>93.746825999999999</v>
      </c>
      <c r="Q615" s="8">
        <v>15.934991</v>
      </c>
    </row>
    <row r="616" spans="1:17" x14ac:dyDescent="0.3">
      <c r="A616">
        <v>98.253889999999998</v>
      </c>
      <c r="B616">
        <v>17.604465000000001</v>
      </c>
      <c r="C616">
        <f t="shared" si="20"/>
        <v>16.42538757799591</v>
      </c>
      <c r="E616" s="9">
        <v>36.651827161825501</v>
      </c>
      <c r="F616" s="8">
        <v>16.040746491003102</v>
      </c>
      <c r="G616" s="1">
        <f t="shared" si="21"/>
        <v>16.501965591003103</v>
      </c>
      <c r="I616" s="9">
        <v>93.746825999999999</v>
      </c>
      <c r="J616" s="8">
        <v>15.938313000000001</v>
      </c>
      <c r="P616" s="9">
        <v>94.648240000000001</v>
      </c>
      <c r="Q616" s="8">
        <v>15.935112</v>
      </c>
    </row>
    <row r="617" spans="1:17" x14ac:dyDescent="0.3">
      <c r="A617">
        <v>99.155304000000001</v>
      </c>
      <c r="B617">
        <v>17.604810000000001</v>
      </c>
      <c r="C617">
        <f t="shared" si="20"/>
        <v>16.425732577995909</v>
      </c>
      <c r="E617" s="9">
        <v>37.706823972182796</v>
      </c>
      <c r="F617" s="8">
        <v>16.042659990480001</v>
      </c>
      <c r="G617" s="1">
        <f t="shared" si="21"/>
        <v>16.503879090480002</v>
      </c>
      <c r="I617" s="9">
        <v>94.648240000000001</v>
      </c>
      <c r="J617" s="8">
        <v>15.938426</v>
      </c>
      <c r="P617" s="9">
        <v>95.54965</v>
      </c>
      <c r="Q617" s="8">
        <v>15.935229</v>
      </c>
    </row>
    <row r="618" spans="1:17" x14ac:dyDescent="0.3">
      <c r="A618">
        <v>100.05671</v>
      </c>
      <c r="B618">
        <v>17.605143000000002</v>
      </c>
      <c r="C618">
        <f t="shared" si="20"/>
        <v>16.42606557799591</v>
      </c>
      <c r="E618" s="9">
        <v>38.792188115519103</v>
      </c>
      <c r="F618" s="8">
        <v>16.044500073023599</v>
      </c>
      <c r="G618" s="1">
        <f t="shared" si="21"/>
        <v>16.5057191730236</v>
      </c>
      <c r="I618" s="9">
        <v>95.54965</v>
      </c>
      <c r="J618" s="8">
        <v>15.938535999999999</v>
      </c>
      <c r="P618" s="9">
        <v>96.451065</v>
      </c>
      <c r="Q618" s="8">
        <v>15.935342</v>
      </c>
    </row>
    <row r="619" spans="1:17" x14ac:dyDescent="0.3">
      <c r="A619">
        <v>100.95811999999999</v>
      </c>
      <c r="B619">
        <v>17.605460999999998</v>
      </c>
      <c r="C619">
        <f t="shared" si="20"/>
        <v>16.426383577995907</v>
      </c>
      <c r="E619" s="9">
        <v>39.908793693919897</v>
      </c>
      <c r="F619" s="8">
        <v>16.0462694410623</v>
      </c>
      <c r="G619" s="1">
        <f t="shared" si="21"/>
        <v>16.507488541062301</v>
      </c>
      <c r="I619" s="9">
        <v>96.451065</v>
      </c>
      <c r="J619" s="8">
        <v>15.938643000000001</v>
      </c>
      <c r="P619" s="9">
        <v>97.35248</v>
      </c>
      <c r="Q619" s="8">
        <v>15.935449999999999</v>
      </c>
    </row>
    <row r="620" spans="1:17" x14ac:dyDescent="0.3">
      <c r="A620">
        <v>101.85953499999999</v>
      </c>
      <c r="B620">
        <v>17.605779999999999</v>
      </c>
      <c r="C620">
        <f t="shared" si="20"/>
        <v>16.426702577995908</v>
      </c>
      <c r="E620" s="9">
        <v>41.057539969877801</v>
      </c>
      <c r="F620" s="8">
        <v>16.047970703174101</v>
      </c>
      <c r="G620" s="1">
        <f t="shared" si="21"/>
        <v>16.509189803174102</v>
      </c>
      <c r="I620" s="9">
        <v>97.35248</v>
      </c>
      <c r="J620" s="8">
        <v>15.938748</v>
      </c>
      <c r="P620" s="9">
        <v>98.253889999999998</v>
      </c>
      <c r="Q620" s="8">
        <v>15.935554</v>
      </c>
    </row>
    <row r="621" spans="1:17" x14ac:dyDescent="0.3">
      <c r="A621">
        <v>102.76094999999999</v>
      </c>
      <c r="B621">
        <v>17.606092</v>
      </c>
      <c r="C621">
        <f t="shared" si="20"/>
        <v>16.427014577995909</v>
      </c>
      <c r="E621" s="9">
        <v>42.239352090516803</v>
      </c>
      <c r="F621" s="8">
        <v>16.049606377105199</v>
      </c>
      <c r="G621" s="1">
        <f t="shared" si="21"/>
        <v>16.5108254771052</v>
      </c>
      <c r="I621" s="9">
        <v>98.253889999999998</v>
      </c>
      <c r="J621" s="8">
        <v>15.938851</v>
      </c>
      <c r="P621" s="9">
        <v>99.155304000000001</v>
      </c>
      <c r="Q621" s="8">
        <v>15.935654</v>
      </c>
    </row>
    <row r="622" spans="1:17" x14ac:dyDescent="0.3">
      <c r="A622">
        <v>103.66236000000001</v>
      </c>
      <c r="B622">
        <v>17.606394000000002</v>
      </c>
      <c r="C622">
        <f t="shared" si="20"/>
        <v>16.42731657799591</v>
      </c>
      <c r="E622" s="9">
        <v>43.455181832662902</v>
      </c>
      <c r="F622" s="8">
        <v>16.051178892698399</v>
      </c>
      <c r="G622" s="1">
        <f t="shared" si="21"/>
        <v>16.5123979926984</v>
      </c>
      <c r="I622" s="9">
        <v>99.155304000000001</v>
      </c>
      <c r="J622" s="8">
        <v>15.938952</v>
      </c>
      <c r="P622" s="9">
        <v>100.05671</v>
      </c>
      <c r="Q622" s="8">
        <v>15.935751</v>
      </c>
    </row>
    <row r="623" spans="1:17" x14ac:dyDescent="0.3">
      <c r="A623">
        <v>104.563774</v>
      </c>
      <c r="B623">
        <v>17.606686</v>
      </c>
      <c r="C623">
        <f t="shared" si="20"/>
        <v>16.427608577995908</v>
      </c>
      <c r="E623" s="9">
        <v>44.7060083693612</v>
      </c>
      <c r="F623" s="8">
        <v>16.052690594735498</v>
      </c>
      <c r="G623" s="1">
        <f t="shared" si="21"/>
        <v>16.513909694735499</v>
      </c>
      <c r="I623" s="9">
        <v>100.05671</v>
      </c>
      <c r="J623" s="8">
        <v>15.939052</v>
      </c>
      <c r="P623" s="9">
        <v>100.95811999999999</v>
      </c>
      <c r="Q623" s="8">
        <v>15.935843</v>
      </c>
    </row>
    <row r="624" spans="1:17" x14ac:dyDescent="0.3">
      <c r="A624">
        <v>105.46519000000001</v>
      </c>
      <c r="B624">
        <v>17.60697</v>
      </c>
      <c r="C624">
        <f t="shared" si="20"/>
        <v>16.427892577995909</v>
      </c>
      <c r="E624" s="9">
        <v>45.992839058456902</v>
      </c>
      <c r="F624" s="8">
        <v>16.054143745695999</v>
      </c>
      <c r="G624" s="1">
        <f t="shared" si="21"/>
        <v>16.515362845696</v>
      </c>
      <c r="I624" s="9">
        <v>100.95811999999999</v>
      </c>
      <c r="J624" s="8">
        <v>15.939147999999999</v>
      </c>
      <c r="P624" s="9">
        <v>101.85953499999999</v>
      </c>
      <c r="Q624" s="8">
        <v>15.935933</v>
      </c>
    </row>
    <row r="625" spans="1:17" x14ac:dyDescent="0.3">
      <c r="A625">
        <v>106.36659</v>
      </c>
      <c r="B625">
        <v>17.607243</v>
      </c>
      <c r="C625">
        <f t="shared" si="20"/>
        <v>16.428165577995909</v>
      </c>
      <c r="E625" s="9">
        <v>47.316710253874199</v>
      </c>
      <c r="F625" s="8">
        <v>16.055540528433198</v>
      </c>
      <c r="G625" s="1">
        <f t="shared" si="21"/>
        <v>16.516759628433199</v>
      </c>
      <c r="I625" s="9">
        <v>101.85953499999999</v>
      </c>
      <c r="J625" s="8">
        <v>15.939232000000001</v>
      </c>
      <c r="P625" s="9">
        <v>102.76094999999999</v>
      </c>
      <c r="Q625" s="8">
        <v>15.936019</v>
      </c>
    </row>
    <row r="626" spans="1:17" x14ac:dyDescent="0.3">
      <c r="A626">
        <v>107.268005</v>
      </c>
      <c r="B626">
        <v>17.607506000000001</v>
      </c>
      <c r="C626">
        <f t="shared" si="20"/>
        <v>16.428428577995909</v>
      </c>
      <c r="E626" s="9">
        <v>48.6786881402479</v>
      </c>
      <c r="F626" s="8">
        <v>16.056883048771098</v>
      </c>
      <c r="G626" s="1">
        <f t="shared" si="21"/>
        <v>16.518102148771099</v>
      </c>
      <c r="I626" s="9">
        <v>102.76094999999999</v>
      </c>
      <c r="J626" s="8">
        <v>15.939314</v>
      </c>
      <c r="P626" s="9">
        <v>103.66236000000001</v>
      </c>
      <c r="Q626" s="8">
        <v>15.936102999999999</v>
      </c>
    </row>
    <row r="627" spans="1:17" x14ac:dyDescent="0.3">
      <c r="A627">
        <v>108.16942</v>
      </c>
      <c r="B627">
        <v>17.607761</v>
      </c>
      <c r="C627">
        <f t="shared" si="20"/>
        <v>16.428683577995908</v>
      </c>
      <c r="E627" s="9">
        <v>50.079869591579801</v>
      </c>
      <c r="F627" s="8">
        <v>16.058173338024002</v>
      </c>
      <c r="G627" s="1">
        <f t="shared" si="21"/>
        <v>16.519392438024003</v>
      </c>
      <c r="I627" s="9">
        <v>103.66236000000001</v>
      </c>
      <c r="J627" s="8">
        <v>15.939392</v>
      </c>
      <c r="P627" s="9">
        <v>104.563774</v>
      </c>
      <c r="Q627" s="8">
        <v>15.936183</v>
      </c>
    </row>
    <row r="628" spans="1:17" x14ac:dyDescent="0.3">
      <c r="A628">
        <v>109.07083</v>
      </c>
      <c r="B628">
        <v>17.608006</v>
      </c>
      <c r="C628">
        <f t="shared" si="20"/>
        <v>16.428928577995908</v>
      </c>
      <c r="E628" s="9">
        <v>51.521383054609501</v>
      </c>
      <c r="F628" s="8">
        <v>16.059413355441901</v>
      </c>
      <c r="G628" s="1">
        <f t="shared" si="21"/>
        <v>16.520632455441902</v>
      </c>
      <c r="I628" s="9">
        <v>104.563774</v>
      </c>
      <c r="J628" s="8">
        <v>15.939468</v>
      </c>
      <c r="P628" s="9">
        <v>105.46519000000001</v>
      </c>
      <c r="Q628" s="8">
        <v>15.936261</v>
      </c>
    </row>
    <row r="629" spans="1:17" x14ac:dyDescent="0.3">
      <c r="A629">
        <v>109.972244</v>
      </c>
      <c r="B629">
        <v>17.608242000000001</v>
      </c>
      <c r="C629">
        <f t="shared" si="20"/>
        <v>16.429164577995909</v>
      </c>
      <c r="E629" s="9">
        <v>53.004389457613598</v>
      </c>
      <c r="F629" s="8">
        <v>16.060604990581101</v>
      </c>
      <c r="G629" s="1">
        <f t="shared" si="21"/>
        <v>16.521824090581102</v>
      </c>
      <c r="I629" s="9">
        <v>105.46519000000001</v>
      </c>
      <c r="J629" s="8">
        <v>15.939543</v>
      </c>
      <c r="P629" s="9">
        <v>106.36659</v>
      </c>
      <c r="Q629" s="8">
        <v>15.936334</v>
      </c>
    </row>
    <row r="630" spans="1:17" x14ac:dyDescent="0.3">
      <c r="A630">
        <v>110.87366</v>
      </c>
      <c r="B630">
        <v>17.608468999999999</v>
      </c>
      <c r="C630">
        <f t="shared" si="20"/>
        <v>16.429391577995908</v>
      </c>
      <c r="E630" s="9">
        <v>54.530083145363697</v>
      </c>
      <c r="F630" s="8">
        <v>16.0617500656057</v>
      </c>
      <c r="G630" s="1">
        <f t="shared" si="21"/>
        <v>16.522969165605701</v>
      </c>
      <c r="I630" s="9">
        <v>106.36659</v>
      </c>
      <c r="J630" s="8">
        <v>15.939614000000001</v>
      </c>
      <c r="P630" s="9">
        <v>107.268005</v>
      </c>
      <c r="Q630" s="8">
        <v>15.936404</v>
      </c>
    </row>
    <row r="631" spans="1:17" x14ac:dyDescent="0.3">
      <c r="A631">
        <v>111.77506</v>
      </c>
      <c r="B631">
        <v>17.608685999999999</v>
      </c>
      <c r="C631">
        <f t="shared" si="20"/>
        <v>16.429608577995907</v>
      </c>
      <c r="E631" s="9">
        <v>56.099692840996497</v>
      </c>
      <c r="F631" s="8">
        <v>16.062850337518501</v>
      </c>
      <c r="G631" s="1">
        <f t="shared" si="21"/>
        <v>16.524069437518502</v>
      </c>
      <c r="I631" s="9">
        <v>107.268005</v>
      </c>
      <c r="J631" s="8">
        <v>15.939684</v>
      </c>
      <c r="P631" s="9">
        <v>108.16942</v>
      </c>
      <c r="Q631" s="8">
        <v>15.936472</v>
      </c>
    </row>
    <row r="632" spans="1:17" x14ac:dyDescent="0.3">
      <c r="A632">
        <v>112.67647599999999</v>
      </c>
      <c r="B632">
        <v>17.608896000000001</v>
      </c>
      <c r="C632">
        <f t="shared" si="20"/>
        <v>16.42981857799591</v>
      </c>
      <c r="E632" s="9">
        <v>57.71448263557</v>
      </c>
      <c r="F632" s="8">
        <v>16.063907500326302</v>
      </c>
      <c r="G632" s="1">
        <f t="shared" si="21"/>
        <v>16.525126600326303</v>
      </c>
      <c r="I632" s="9">
        <v>108.16942</v>
      </c>
      <c r="J632" s="8">
        <v>15.939753</v>
      </c>
      <c r="P632" s="9">
        <v>109.07083</v>
      </c>
      <c r="Q632" s="8">
        <v>15.936538000000001</v>
      </c>
    </row>
    <row r="633" spans="1:17" x14ac:dyDescent="0.3">
      <c r="A633">
        <v>113.57789</v>
      </c>
      <c r="B633">
        <v>17.609096999999998</v>
      </c>
      <c r="C633">
        <f t="shared" si="20"/>
        <v>16.430019577995907</v>
      </c>
      <c r="E633" s="9">
        <v>59.375753006104802</v>
      </c>
      <c r="F633" s="8">
        <v>16.0649231871386</v>
      </c>
      <c r="G633" s="1">
        <f t="shared" si="21"/>
        <v>16.526142287138601</v>
      </c>
      <c r="I633" s="9">
        <v>109.07083</v>
      </c>
      <c r="J633" s="8">
        <v>15.939818000000001</v>
      </c>
      <c r="P633" s="9">
        <v>109.972244</v>
      </c>
      <c r="Q633" s="8">
        <v>15.936601</v>
      </c>
    </row>
    <row r="634" spans="1:17" x14ac:dyDescent="0.3">
      <c r="A634">
        <v>114.47929999999999</v>
      </c>
      <c r="B634">
        <v>17.609286999999998</v>
      </c>
      <c r="C634">
        <f t="shared" si="20"/>
        <v>16.430209577995907</v>
      </c>
      <c r="E634" s="9">
        <v>61.084841862927803</v>
      </c>
      <c r="F634" s="8">
        <v>16.065898972203701</v>
      </c>
      <c r="G634" s="1">
        <f t="shared" si="21"/>
        <v>16.527118072203702</v>
      </c>
      <c r="I634" s="9">
        <v>109.972244</v>
      </c>
      <c r="J634" s="8">
        <v>15.939883</v>
      </c>
      <c r="P634" s="9">
        <v>110.87366</v>
      </c>
      <c r="Q634" s="8">
        <v>15.936662</v>
      </c>
    </row>
    <row r="635" spans="1:17" x14ac:dyDescent="0.3">
      <c r="A635">
        <v>115.380714</v>
      </c>
      <c r="B635">
        <v>17.609477999999999</v>
      </c>
      <c r="C635">
        <f t="shared" si="20"/>
        <v>16.430400577995908</v>
      </c>
      <c r="E635" s="9">
        <v>62.843125627162898</v>
      </c>
      <c r="F635" s="8">
        <v>16.066836372882801</v>
      </c>
      <c r="G635" s="1">
        <f t="shared" si="21"/>
        <v>16.528055472882802</v>
      </c>
      <c r="I635" s="9">
        <v>110.87366</v>
      </c>
      <c r="J635" s="8">
        <v>15.939947</v>
      </c>
      <c r="P635" s="9">
        <v>111.77506</v>
      </c>
      <c r="Q635" s="8">
        <v>15.936719999999999</v>
      </c>
    </row>
    <row r="636" spans="1:17" x14ac:dyDescent="0.3">
      <c r="A636">
        <v>116.28213</v>
      </c>
      <c r="B636">
        <v>17.609665</v>
      </c>
      <c r="C636">
        <f t="shared" si="20"/>
        <v>16.430587577995908</v>
      </c>
      <c r="E636" s="9">
        <v>64.652020339237595</v>
      </c>
      <c r="F636" s="8">
        <v>16.067736851564099</v>
      </c>
      <c r="G636" s="1">
        <f t="shared" si="21"/>
        <v>16.5289559515641</v>
      </c>
      <c r="I636" s="9">
        <v>111.77506</v>
      </c>
      <c r="J636" s="8">
        <v>15.940009999999999</v>
      </c>
      <c r="P636" s="9">
        <v>112.67647599999999</v>
      </c>
      <c r="Q636" s="8">
        <v>15.936776999999999</v>
      </c>
    </row>
    <row r="637" spans="1:17" x14ac:dyDescent="0.3">
      <c r="A637">
        <v>117.18353999999999</v>
      </c>
      <c r="B637">
        <v>17.609846000000001</v>
      </c>
      <c r="C637">
        <f t="shared" si="20"/>
        <v>16.430768577995909</v>
      </c>
      <c r="E637" s="9">
        <v>66.512982799296097</v>
      </c>
      <c r="F637" s="8">
        <v>16.068601817518399</v>
      </c>
      <c r="G637" s="1">
        <f t="shared" si="21"/>
        <v>16.5298209175184</v>
      </c>
      <c r="I637" s="9">
        <v>112.67647599999999</v>
      </c>
      <c r="J637" s="8">
        <v>15.940072000000001</v>
      </c>
      <c r="P637" s="9">
        <v>113.57789</v>
      </c>
      <c r="Q637" s="8">
        <v>15.936832000000001</v>
      </c>
    </row>
    <row r="638" spans="1:17" x14ac:dyDescent="0.3">
      <c r="A638">
        <v>118.084946</v>
      </c>
      <c r="B638">
        <v>17.610019999999999</v>
      </c>
      <c r="C638">
        <f t="shared" si="20"/>
        <v>16.430942577995907</v>
      </c>
      <c r="E638" s="9">
        <v>68.427511740438703</v>
      </c>
      <c r="F638" s="8">
        <v>16.069432628698401</v>
      </c>
      <c r="G638" s="1">
        <f t="shared" si="21"/>
        <v>16.530651728698402</v>
      </c>
      <c r="I638" s="9">
        <v>113.57789</v>
      </c>
      <c r="J638" s="8">
        <v>15.940134</v>
      </c>
      <c r="P638" s="9">
        <v>114.47929999999999</v>
      </c>
      <c r="Q638" s="8">
        <v>15.936887</v>
      </c>
    </row>
    <row r="639" spans="1:17" x14ac:dyDescent="0.3">
      <c r="A639">
        <v>118.98636</v>
      </c>
      <c r="B639">
        <v>17.610188000000001</v>
      </c>
      <c r="C639">
        <f t="shared" si="20"/>
        <v>16.431110577995909</v>
      </c>
      <c r="E639" s="9">
        <v>70.397149035732397</v>
      </c>
      <c r="F639" s="8">
        <v>16.070230593481899</v>
      </c>
      <c r="G639" s="1">
        <f t="shared" si="21"/>
        <v>16.5314496934819</v>
      </c>
      <c r="I639" s="9">
        <v>114.47929999999999</v>
      </c>
      <c r="J639" s="8">
        <v>15.940194</v>
      </c>
      <c r="P639" s="9">
        <v>115.380714</v>
      </c>
      <c r="Q639" s="8">
        <v>15.936939000000001</v>
      </c>
    </row>
    <row r="640" spans="1:17" x14ac:dyDescent="0.3">
      <c r="A640">
        <v>119.88777</v>
      </c>
      <c r="B640">
        <v>17.610351999999999</v>
      </c>
      <c r="C640">
        <f t="shared" si="20"/>
        <v>16.431274577995907</v>
      </c>
      <c r="E640" s="9">
        <v>72.423480939963994</v>
      </c>
      <c r="F640" s="8">
        <v>16.070996972362501</v>
      </c>
      <c r="G640" s="1">
        <f t="shared" si="21"/>
        <v>16.532216072362502</v>
      </c>
      <c r="I640" s="9">
        <v>115.380714</v>
      </c>
      <c r="J640" s="8">
        <v>15.940246</v>
      </c>
      <c r="P640" s="9">
        <v>116.28213</v>
      </c>
      <c r="Q640" s="8">
        <v>15.93699</v>
      </c>
    </row>
    <row r="641" spans="1:17" x14ac:dyDescent="0.3">
      <c r="A641">
        <v>120.789185</v>
      </c>
      <c r="B641">
        <v>17.610507999999999</v>
      </c>
      <c r="C641">
        <f t="shared" si="20"/>
        <v>16.431430577995908</v>
      </c>
      <c r="E641" s="9">
        <v>74.508139367136096</v>
      </c>
      <c r="F641" s="8">
        <v>16.071732979586699</v>
      </c>
      <c r="G641" s="1">
        <f t="shared" si="21"/>
        <v>16.5329520795867</v>
      </c>
      <c r="I641" s="9">
        <v>116.28213</v>
      </c>
      <c r="J641" s="8">
        <v>15.940296</v>
      </c>
      <c r="P641" s="9">
        <v>117.18353999999999</v>
      </c>
      <c r="Q641" s="8">
        <v>15.93704</v>
      </c>
    </row>
    <row r="642" spans="1:17" x14ac:dyDescent="0.3">
      <c r="A642">
        <v>121.6906</v>
      </c>
      <c r="B642">
        <v>17.610659999999999</v>
      </c>
      <c r="C642">
        <f t="shared" si="20"/>
        <v>16.431582577995908</v>
      </c>
      <c r="E642" s="9">
        <v>76.652803204735804</v>
      </c>
      <c r="F642" s="8">
        <v>16.072439784741199</v>
      </c>
      <c r="G642" s="1">
        <f t="shared" si="21"/>
        <v>16.5336588847412</v>
      </c>
      <c r="I642" s="9">
        <v>117.18353999999999</v>
      </c>
      <c r="J642" s="8">
        <v>15.940346</v>
      </c>
      <c r="P642" s="9">
        <v>118.084946</v>
      </c>
      <c r="Q642" s="8">
        <v>15.93709</v>
      </c>
    </row>
    <row r="643" spans="1:17" x14ac:dyDescent="0.3">
      <c r="A643">
        <v>122.59201</v>
      </c>
      <c r="B643">
        <v>17.610806</v>
      </c>
      <c r="C643">
        <f t="shared" si="20"/>
        <v>16.431728577995909</v>
      </c>
      <c r="E643" s="9">
        <v>78.859199665832406</v>
      </c>
      <c r="F643" s="8">
        <v>16.073118514290702</v>
      </c>
      <c r="G643" s="1">
        <f t="shared" si="21"/>
        <v>16.534337614290703</v>
      </c>
      <c r="I643" s="9">
        <v>118.084946</v>
      </c>
      <c r="J643" s="8">
        <v>15.9403925</v>
      </c>
      <c r="P643" s="9">
        <v>118.98636</v>
      </c>
      <c r="Q643" s="8">
        <v>15.937137999999999</v>
      </c>
    </row>
    <row r="644" spans="1:17" x14ac:dyDescent="0.3">
      <c r="A644">
        <v>123.49342</v>
      </c>
      <c r="B644">
        <v>17.610949000000002</v>
      </c>
      <c r="C644">
        <f t="shared" ref="C644:C657" si="22">B644-2*PI()*1.68*(0.1187-0.007)</f>
        <v>16.43187157799591</v>
      </c>
      <c r="E644" s="9">
        <v>81.129105680095194</v>
      </c>
      <c r="F644" s="8">
        <v>16.073770253066701</v>
      </c>
      <c r="G644" s="1">
        <f t="shared" ref="G644:G662" si="23">$B$3+F644</f>
        <v>16.534989353066702</v>
      </c>
      <c r="I644" s="9">
        <v>118.98636</v>
      </c>
      <c r="J644" s="8">
        <v>15.940439</v>
      </c>
      <c r="P644" s="9">
        <v>119.88777</v>
      </c>
      <c r="Q644" s="8">
        <v>15.9371805</v>
      </c>
    </row>
    <row r="645" spans="1:17" x14ac:dyDescent="0.3">
      <c r="A645">
        <v>124.39483</v>
      </c>
      <c r="B645">
        <v>17.611084000000002</v>
      </c>
      <c r="C645">
        <f t="shared" si="22"/>
        <v>16.43200657799591</v>
      </c>
      <c r="E645" s="9">
        <v>83.464349324850602</v>
      </c>
      <c r="F645" s="8">
        <v>16.074396045711001</v>
      </c>
      <c r="G645" s="1">
        <f t="shared" si="23"/>
        <v>16.535615145711002</v>
      </c>
      <c r="I645" s="9">
        <v>119.88777</v>
      </c>
      <c r="J645" s="8">
        <v>15.940483</v>
      </c>
      <c r="P645" s="9">
        <v>120.789185</v>
      </c>
      <c r="Q645" s="8">
        <v>15.937222500000001</v>
      </c>
    </row>
    <row r="646" spans="1:17" x14ac:dyDescent="0.3">
      <c r="A646">
        <v>125.29624</v>
      </c>
      <c r="B646">
        <v>17.611215999999999</v>
      </c>
      <c r="C646">
        <f t="shared" si="22"/>
        <v>16.432138577995907</v>
      </c>
      <c r="E646" s="9">
        <v>85.866811297330798</v>
      </c>
      <c r="F646" s="8">
        <v>16.074996898072399</v>
      </c>
      <c r="G646" s="1">
        <f t="shared" si="23"/>
        <v>16.5362159980724</v>
      </c>
      <c r="I646" s="9">
        <v>120.789185</v>
      </c>
      <c r="J646" s="8">
        <v>15.940526999999999</v>
      </c>
      <c r="P646" s="9">
        <v>121.6906</v>
      </c>
      <c r="Q646" s="8">
        <v>15.937263</v>
      </c>
    </row>
    <row r="647" spans="1:17" x14ac:dyDescent="0.3">
      <c r="A647">
        <v>126.197655</v>
      </c>
      <c r="B647">
        <v>17.611343000000002</v>
      </c>
      <c r="C647">
        <f t="shared" si="22"/>
        <v>16.43226557799591</v>
      </c>
      <c r="E647" s="9">
        <v>88.338426429300299</v>
      </c>
      <c r="F647" s="8">
        <v>16.075573778560301</v>
      </c>
      <c r="G647" s="1">
        <f t="shared" si="23"/>
        <v>16.536792878560302</v>
      </c>
      <c r="I647" s="9">
        <v>121.6906</v>
      </c>
      <c r="J647" s="8">
        <v>15.940569999999999</v>
      </c>
      <c r="P647" s="9">
        <v>122.59201</v>
      </c>
      <c r="Q647" s="8">
        <v>15.937302000000001</v>
      </c>
    </row>
    <row r="648" spans="1:17" x14ac:dyDescent="0.3">
      <c r="A648">
        <v>127.09907</v>
      </c>
      <c r="B648">
        <v>17.611464999999999</v>
      </c>
      <c r="C648">
        <f t="shared" si="22"/>
        <v>16.432387577995907</v>
      </c>
      <c r="E648" s="9">
        <v>90.881185245280406</v>
      </c>
      <c r="F648" s="8">
        <v>16.0761276194545</v>
      </c>
      <c r="G648" s="1">
        <f t="shared" si="23"/>
        <v>16.537346719454501</v>
      </c>
      <c r="I648" s="9">
        <v>122.59201</v>
      </c>
      <c r="J648" s="8">
        <v>15.940611000000001</v>
      </c>
      <c r="P648" s="9">
        <v>123.49342</v>
      </c>
      <c r="Q648" s="8">
        <v>15.937340000000001</v>
      </c>
    </row>
    <row r="649" spans="1:17" x14ac:dyDescent="0.3">
      <c r="A649">
        <v>128.00047000000001</v>
      </c>
      <c r="B649">
        <v>17.611584000000001</v>
      </c>
      <c r="C649">
        <f t="shared" si="22"/>
        <v>16.432506577995909</v>
      </c>
      <c r="E649" s="9">
        <v>93.4971355656252</v>
      </c>
      <c r="F649" s="8">
        <v>16.076659318173601</v>
      </c>
      <c r="G649" s="1">
        <f t="shared" si="23"/>
        <v>16.537878418173602</v>
      </c>
      <c r="I649" s="9">
        <v>123.49342</v>
      </c>
      <c r="J649" s="8">
        <v>15.940651000000001</v>
      </c>
      <c r="P649" s="9">
        <v>124.39483</v>
      </c>
      <c r="Q649" s="8">
        <v>15.937377</v>
      </c>
    </row>
    <row r="650" spans="1:17" x14ac:dyDescent="0.3">
      <c r="A650">
        <v>128.90189000000001</v>
      </c>
      <c r="B650">
        <v>17.611699999999999</v>
      </c>
      <c r="C650">
        <f t="shared" si="22"/>
        <v>16.432622577995907</v>
      </c>
      <c r="E650" s="9">
        <v>96.188384155741304</v>
      </c>
      <c r="F650" s="8">
        <v>16.0771697385028</v>
      </c>
      <c r="G650" s="1">
        <f t="shared" si="23"/>
        <v>16.538388838502801</v>
      </c>
      <c r="I650" s="9">
        <v>124.39483</v>
      </c>
      <c r="J650" s="8">
        <v>15.940690999999999</v>
      </c>
      <c r="P650" s="9">
        <v>125.29624</v>
      </c>
      <c r="Q650" s="8">
        <v>15.937412</v>
      </c>
    </row>
    <row r="651" spans="1:17" x14ac:dyDescent="0.3">
      <c r="A651">
        <v>129.80330000000001</v>
      </c>
      <c r="B651">
        <v>17.611809999999998</v>
      </c>
      <c r="C651">
        <f t="shared" si="22"/>
        <v>16.432732577995907</v>
      </c>
      <c r="E651" s="9">
        <v>98.957098422779595</v>
      </c>
      <c r="F651" s="8">
        <v>16.0776597117822</v>
      </c>
      <c r="G651" s="1">
        <f t="shared" si="23"/>
        <v>16.538878811782201</v>
      </c>
      <c r="I651" s="9">
        <v>125.29624</v>
      </c>
      <c r="J651" s="8">
        <v>15.940728999999999</v>
      </c>
      <c r="P651" s="9">
        <v>126.197655</v>
      </c>
      <c r="Q651" s="8">
        <v>15.937448</v>
      </c>
    </row>
    <row r="652" spans="1:17" x14ac:dyDescent="0.3">
      <c r="A652">
        <v>130.70471000000001</v>
      </c>
      <c r="B652">
        <v>17.611920000000001</v>
      </c>
      <c r="C652">
        <f t="shared" si="22"/>
        <v>16.43284257799591</v>
      </c>
      <c r="E652" s="9">
        <v>101.805508161164</v>
      </c>
      <c r="F652" s="8">
        <v>16.078130038056901</v>
      </c>
      <c r="G652" s="1">
        <f t="shared" si="23"/>
        <v>16.539349138056902</v>
      </c>
      <c r="I652" s="9">
        <v>126.197655</v>
      </c>
      <c r="J652" s="8">
        <v>15.940766999999999</v>
      </c>
      <c r="P652" s="9">
        <v>127.09907</v>
      </c>
      <c r="Q652" s="8">
        <v>15.937483</v>
      </c>
    </row>
    <row r="653" spans="1:17" x14ac:dyDescent="0.3">
      <c r="A653">
        <v>131.60612</v>
      </c>
      <c r="B653">
        <v>17.612024000000002</v>
      </c>
      <c r="C653">
        <f t="shared" si="22"/>
        <v>16.43294657799591</v>
      </c>
      <c r="E653" s="9">
        <v>104.73590734836699</v>
      </c>
      <c r="F653" s="8">
        <v>16.078581487189101</v>
      </c>
      <c r="G653" s="1">
        <f t="shared" si="23"/>
        <v>16.539800587189102</v>
      </c>
      <c r="I653" s="9">
        <v>127.09907</v>
      </c>
      <c r="J653" s="8">
        <v>15.940804999999999</v>
      </c>
      <c r="P653" s="9">
        <v>128.00047000000001</v>
      </c>
      <c r="Q653" s="8">
        <v>15.937516</v>
      </c>
    </row>
    <row r="654" spans="1:17" x14ac:dyDescent="0.3">
      <c r="A654">
        <v>132.50754000000001</v>
      </c>
      <c r="B654">
        <v>17.612124999999999</v>
      </c>
      <c r="C654">
        <f t="shared" si="22"/>
        <v>16.433047577995907</v>
      </c>
      <c r="E654" s="9">
        <v>107.750655992369</v>
      </c>
      <c r="F654" s="8">
        <v>16.079014799934999</v>
      </c>
      <c r="G654" s="1">
        <f t="shared" si="23"/>
        <v>16.540233899935</v>
      </c>
      <c r="I654" s="9">
        <v>128.00047000000001</v>
      </c>
      <c r="J654" s="8">
        <v>15.940842</v>
      </c>
      <c r="P654" s="9">
        <v>128.90189000000001</v>
      </c>
      <c r="Q654" s="8">
        <v>15.93755</v>
      </c>
    </row>
    <row r="655" spans="1:17" x14ac:dyDescent="0.3">
      <c r="A655">
        <v>133.40895</v>
      </c>
      <c r="B655">
        <v>17.612223</v>
      </c>
      <c r="C655">
        <f t="shared" si="22"/>
        <v>16.433145577995909</v>
      </c>
      <c r="E655" s="9">
        <v>110.852182032304</v>
      </c>
      <c r="F655" s="8">
        <v>16.079430688985699</v>
      </c>
      <c r="G655" s="1">
        <f t="shared" si="23"/>
        <v>16.5406497889857</v>
      </c>
      <c r="I655" s="9">
        <v>128.90189000000001</v>
      </c>
      <c r="J655" s="8">
        <v>15.940875999999999</v>
      </c>
      <c r="P655" s="9">
        <v>129.80330000000001</v>
      </c>
      <c r="Q655" s="8">
        <v>15.937583</v>
      </c>
    </row>
    <row r="656" spans="1:17" x14ac:dyDescent="0.3">
      <c r="A656">
        <v>134.31036</v>
      </c>
      <c r="B656">
        <v>17.612317999999998</v>
      </c>
      <c r="C656">
        <f t="shared" si="22"/>
        <v>16.433240577995907</v>
      </c>
      <c r="E656" s="9">
        <v>114.042983293807</v>
      </c>
      <c r="F656" s="8">
        <v>16.079829839974401</v>
      </c>
      <c r="G656" s="1">
        <f t="shared" si="23"/>
        <v>16.541048939974402</v>
      </c>
      <c r="I656" s="9">
        <v>129.80330000000001</v>
      </c>
      <c r="J656" s="8">
        <v>15.940908</v>
      </c>
      <c r="P656" s="9">
        <v>130.70471000000001</v>
      </c>
      <c r="Q656" s="8">
        <v>15.937614999999999</v>
      </c>
    </row>
    <row r="657" spans="1:17" x14ac:dyDescent="0.3">
      <c r="A657">
        <v>135.21178</v>
      </c>
      <c r="B657">
        <v>17.612410000000001</v>
      </c>
      <c r="C657">
        <f t="shared" si="22"/>
        <v>16.433332577995909</v>
      </c>
      <c r="E657" s="9">
        <v>117.325629500646</v>
      </c>
      <c r="F657" s="8">
        <v>16.0802129124502</v>
      </c>
      <c r="G657" s="1">
        <f t="shared" si="23"/>
        <v>16.541432012450201</v>
      </c>
      <c r="I657" s="9">
        <v>130.70471000000001</v>
      </c>
      <c r="J657" s="8">
        <v>15.940941</v>
      </c>
      <c r="P657" s="9">
        <v>131.60612</v>
      </c>
      <c r="Q657" s="8">
        <v>15.937647999999999</v>
      </c>
    </row>
    <row r="658" spans="1:17" x14ac:dyDescent="0.3">
      <c r="E658" s="9">
        <v>120.70276434426199</v>
      </c>
      <c r="F658" s="8">
        <v>16.0805805408196</v>
      </c>
      <c r="G658" s="1">
        <f t="shared" si="23"/>
        <v>16.541799640819601</v>
      </c>
      <c r="I658" s="9">
        <v>131.60612</v>
      </c>
      <c r="J658" s="8">
        <v>15.940972</v>
      </c>
      <c r="P658" s="9">
        <v>132.50754000000001</v>
      </c>
      <c r="Q658" s="8">
        <v>15.937678999999999</v>
      </c>
    </row>
    <row r="659" spans="1:17" x14ac:dyDescent="0.3">
      <c r="E659" s="9">
        <v>124.17710761287501</v>
      </c>
      <c r="F659" s="8">
        <v>16.080933335256599</v>
      </c>
      <c r="G659" s="1">
        <f t="shared" si="23"/>
        <v>16.5421524352566</v>
      </c>
      <c r="I659" s="9">
        <v>132.50754000000001</v>
      </c>
      <c r="J659" s="8">
        <v>15.941003</v>
      </c>
      <c r="P659" s="9">
        <v>133.40895</v>
      </c>
      <c r="Q659" s="8">
        <v>15.937708000000001</v>
      </c>
    </row>
    <row r="660" spans="1:17" x14ac:dyDescent="0.3">
      <c r="E660" s="9">
        <v>127.751457381872</v>
      </c>
      <c r="F660" s="8">
        <v>16.0812718825829</v>
      </c>
      <c r="G660" s="1">
        <f t="shared" si="23"/>
        <v>16.542490982582901</v>
      </c>
      <c r="I660" s="9">
        <v>133.40895</v>
      </c>
      <c r="J660" s="8">
        <v>15.941032</v>
      </c>
      <c r="P660" s="9">
        <v>134.31036</v>
      </c>
      <c r="Q660" s="8">
        <v>15.937735999999999</v>
      </c>
    </row>
    <row r="661" spans="1:17" x14ac:dyDescent="0.3">
      <c r="E661" s="9">
        <v>131.42869226725301</v>
      </c>
      <c r="F661" s="8">
        <v>16.081596747118201</v>
      </c>
      <c r="G661" s="1">
        <f t="shared" si="23"/>
        <v>16.542815847118202</v>
      </c>
      <c r="I661" s="9">
        <v>134.31036</v>
      </c>
      <c r="J661" s="8">
        <v>15.941062000000001</v>
      </c>
      <c r="P661" s="10">
        <v>135.21178</v>
      </c>
      <c r="Q661" s="11">
        <v>15.937763</v>
      </c>
    </row>
    <row r="662" spans="1:17" x14ac:dyDescent="0.3">
      <c r="E662" s="10">
        <v>135.21177371331299</v>
      </c>
      <c r="F662" s="11">
        <v>16.081908471499201</v>
      </c>
      <c r="G662" s="1">
        <f t="shared" si="23"/>
        <v>16.543127571499202</v>
      </c>
      <c r="I662" s="10">
        <v>135.21178</v>
      </c>
      <c r="J662" s="11">
        <v>15.941091999999999</v>
      </c>
    </row>
  </sheetData>
  <mergeCells count="2">
    <mergeCell ref="E1:F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Grafici</vt:lpstr>
      </vt:variant>
      <vt:variant>
        <vt:i4>1</vt:i4>
      </vt:variant>
    </vt:vector>
  </HeadingPairs>
  <TitlesOfParts>
    <vt:vector size="3" baseType="lpstr">
      <vt:lpstr>MIFT_ref60s</vt:lpstr>
      <vt:lpstr>MIFT</vt:lpstr>
      <vt:lpstr>Grafico1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LUCA ALBERTO MUNAFO'</dc:creator>
  <cp:lastModifiedBy>ANGELA VALERIA MICELI</cp:lastModifiedBy>
  <dcterms:created xsi:type="dcterms:W3CDTF">2025-02-07T09:31:55Z</dcterms:created>
  <dcterms:modified xsi:type="dcterms:W3CDTF">2025-03-17T14:39:16Z</dcterms:modified>
</cp:coreProperties>
</file>